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ft\NewView関連マクロ\"/>
    </mc:Choice>
  </mc:AlternateContent>
  <xr:revisionPtr revIDLastSave="0" documentId="13_ncr:1_{59AED886-B314-4D9B-AB93-FF7E8FD3558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各ミラー補正計測データcsv整理マクロ" sheetId="1" r:id="rId1"/>
    <sheet name="裾評価用シート" sheetId="2" r:id="rId2"/>
    <sheet name="W_y" sheetId="6" r:id="rId3"/>
    <sheet name="E_y" sheetId="7" r:id="rId4"/>
    <sheet name="S_x" sheetId="8" r:id="rId5"/>
    <sheet name="N_x" sheetId="9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" i="2" l="1"/>
  <c r="G7" i="2"/>
  <c r="F8" i="2"/>
  <c r="F7" i="2"/>
  <c r="E8" i="2"/>
  <c r="E7" i="2"/>
  <c r="D8" i="2"/>
  <c r="D7" i="2"/>
  <c r="B9" i="2" l="1"/>
  <c r="C9" i="2" s="1"/>
  <c r="D9" i="2" l="1"/>
  <c r="G9" i="2"/>
  <c r="F9" i="2"/>
  <c r="E9" i="2"/>
  <c r="B10" i="2"/>
  <c r="A9" i="2"/>
  <c r="E16" i="1"/>
  <c r="D16" i="1"/>
  <c r="E15" i="1"/>
  <c r="D15" i="1"/>
  <c r="C10" i="2" l="1"/>
  <c r="A10" i="2" l="1"/>
  <c r="D10" i="2"/>
  <c r="G10" i="2"/>
  <c r="F10" i="2"/>
  <c r="E10" i="2"/>
  <c r="B11" i="2"/>
  <c r="C11" i="2" l="1"/>
  <c r="D11" i="2" l="1"/>
  <c r="G11" i="2"/>
  <c r="F11" i="2"/>
  <c r="E11" i="2"/>
  <c r="B12" i="2"/>
  <c r="A11" i="2"/>
  <c r="C12" i="2" l="1"/>
  <c r="G12" i="2" l="1"/>
  <c r="F12" i="2"/>
  <c r="E12" i="2"/>
  <c r="D12" i="2"/>
  <c r="B13" i="2"/>
  <c r="A12" i="2"/>
  <c r="C13" i="2" l="1"/>
  <c r="A13" i="2" l="1"/>
  <c r="D13" i="2"/>
  <c r="F13" i="2"/>
  <c r="E13" i="2"/>
  <c r="G13" i="2"/>
  <c r="B14" i="2"/>
  <c r="C14" i="2" l="1"/>
  <c r="A14" i="2" l="1"/>
  <c r="D14" i="2"/>
  <c r="G14" i="2"/>
  <c r="F14" i="2"/>
  <c r="E14" i="2"/>
  <c r="B15" i="2"/>
  <c r="C15" i="2" l="1"/>
  <c r="G15" i="2" l="1"/>
  <c r="F15" i="2"/>
  <c r="E15" i="2"/>
  <c r="D15" i="2"/>
  <c r="B16" i="2"/>
  <c r="A15" i="2"/>
  <c r="C16" i="2" l="1"/>
  <c r="D16" i="2" l="1"/>
  <c r="G16" i="2"/>
  <c r="F16" i="2"/>
  <c r="E16" i="2"/>
  <c r="B17" i="2"/>
  <c r="A16" i="2"/>
  <c r="C17" i="2" l="1"/>
  <c r="A17" i="2" l="1"/>
  <c r="D17" i="2"/>
  <c r="G17" i="2"/>
  <c r="F17" i="2"/>
  <c r="E17" i="2"/>
  <c r="B18" i="2"/>
  <c r="C18" i="2" l="1"/>
  <c r="A18" i="2" l="1"/>
  <c r="D18" i="2"/>
  <c r="G18" i="2"/>
  <c r="F18" i="2"/>
  <c r="E18" i="2"/>
  <c r="B19" i="2"/>
  <c r="C19" i="2" l="1"/>
  <c r="D19" i="2" l="1"/>
  <c r="G19" i="2"/>
  <c r="F19" i="2"/>
  <c r="E19" i="2"/>
  <c r="B20" i="2"/>
  <c r="A19" i="2"/>
  <c r="C20" i="2" l="1"/>
  <c r="D20" i="2" l="1"/>
  <c r="G20" i="2"/>
  <c r="F20" i="2"/>
  <c r="E20" i="2"/>
  <c r="B21" i="2"/>
  <c r="A20" i="2"/>
  <c r="C21" i="2" l="1"/>
  <c r="A21" i="2" l="1"/>
  <c r="D21" i="2"/>
  <c r="G21" i="2"/>
  <c r="F21" i="2"/>
  <c r="E21" i="2"/>
  <c r="B22" i="2"/>
  <c r="C22" i="2" l="1"/>
  <c r="A22" i="2" l="1"/>
  <c r="D22" i="2"/>
  <c r="G22" i="2"/>
  <c r="E22" i="2"/>
  <c r="F22" i="2"/>
  <c r="B23" i="2"/>
  <c r="C23" i="2" l="1"/>
  <c r="D23" i="2" l="1"/>
  <c r="G23" i="2"/>
  <c r="F23" i="2"/>
  <c r="E23" i="2"/>
  <c r="B24" i="2"/>
  <c r="A23" i="2"/>
  <c r="C24" i="2" l="1"/>
  <c r="D24" i="2" s="1"/>
  <c r="F24" i="2" l="1"/>
  <c r="G24" i="2"/>
  <c r="E24" i="2"/>
  <c r="B25" i="2"/>
  <c r="A24" i="2"/>
  <c r="C25" i="2" l="1"/>
  <c r="D25" i="2" s="1"/>
  <c r="F25" i="2" l="1"/>
  <c r="G25" i="2"/>
  <c r="A25" i="2"/>
  <c r="E25" i="2"/>
  <c r="B26" i="2"/>
  <c r="C26" i="2" l="1"/>
  <c r="D26" i="2" s="1"/>
  <c r="E26" i="2" l="1"/>
  <c r="G26" i="2"/>
  <c r="A26" i="2"/>
  <c r="F26" i="2"/>
  <c r="B27" i="2"/>
  <c r="C27" i="2" l="1"/>
  <c r="D27" i="2" s="1"/>
  <c r="F27" i="2" l="1"/>
  <c r="G27" i="2"/>
  <c r="E27" i="2"/>
  <c r="B28" i="2"/>
  <c r="A27" i="2"/>
  <c r="C28" i="2" l="1"/>
  <c r="D28" i="2" s="1"/>
  <c r="F28" i="2" l="1"/>
  <c r="E28" i="2"/>
  <c r="G28" i="2"/>
  <c r="B29" i="2"/>
  <c r="A28" i="2"/>
  <c r="C29" i="2" l="1"/>
  <c r="D29" i="2" s="1"/>
  <c r="F29" i="2" l="1"/>
  <c r="G29" i="2"/>
  <c r="E29" i="2"/>
  <c r="B30" i="2"/>
  <c r="A29" i="2"/>
  <c r="C30" i="2" l="1"/>
  <c r="F30" i="2" s="1"/>
  <c r="E30" i="2" l="1"/>
  <c r="A30" i="2"/>
  <c r="D30" i="2"/>
  <c r="G30" i="2"/>
  <c r="B31" i="2"/>
  <c r="C31" i="2" l="1"/>
  <c r="A31" i="2" l="1"/>
  <c r="F31" i="2"/>
  <c r="G31" i="2"/>
  <c r="E31" i="2"/>
  <c r="D31" i="2"/>
  <c r="B32" i="2"/>
  <c r="F32" i="2" l="1"/>
  <c r="C32" i="2"/>
  <c r="E32" i="2" s="1"/>
  <c r="D32" i="2" l="1"/>
  <c r="G32" i="2"/>
  <c r="B33" i="2"/>
  <c r="A32" i="2"/>
  <c r="C33" i="2" l="1"/>
  <c r="E33" i="2" l="1"/>
  <c r="D33" i="2"/>
  <c r="F33" i="2"/>
  <c r="G33" i="2"/>
  <c r="B34" i="2"/>
  <c r="A33" i="2"/>
  <c r="F34" i="2" l="1"/>
  <c r="C34" i="2"/>
  <c r="A34" i="2" s="1"/>
  <c r="E34" i="2" l="1"/>
  <c r="D34" i="2"/>
  <c r="G34" i="2"/>
  <c r="B35" i="2"/>
  <c r="C35" i="2" l="1"/>
  <c r="A35" i="2" l="1"/>
  <c r="E35" i="2"/>
  <c r="D35" i="2"/>
  <c r="F35" i="2"/>
  <c r="G35" i="2"/>
  <c r="B36" i="2"/>
  <c r="C36" i="2" l="1"/>
  <c r="F36" i="2" s="1"/>
  <c r="G36" i="2" l="1"/>
  <c r="E36" i="2"/>
  <c r="D36" i="2"/>
  <c r="B37" i="2"/>
  <c r="A36" i="2"/>
  <c r="C37" i="2" l="1"/>
  <c r="F37" i="2" l="1"/>
  <c r="E37" i="2"/>
  <c r="D37" i="2"/>
  <c r="G37" i="2"/>
  <c r="B38" i="2"/>
  <c r="A37" i="2"/>
  <c r="C38" i="2" l="1"/>
  <c r="A38" i="2" s="1"/>
  <c r="F38" i="2" l="1"/>
  <c r="D38" i="2"/>
  <c r="E38" i="2"/>
  <c r="G38" i="2"/>
  <c r="B39" i="2"/>
  <c r="C39" i="2" l="1"/>
  <c r="A39" i="2" l="1"/>
  <c r="D39" i="2"/>
  <c r="F39" i="2"/>
  <c r="E39" i="2"/>
  <c r="G39" i="2"/>
  <c r="B40" i="2"/>
  <c r="C40" i="2" l="1"/>
  <c r="E40" i="2" s="1"/>
  <c r="G40" i="2" l="1"/>
  <c r="F40" i="2"/>
  <c r="D40" i="2"/>
  <c r="B41" i="2"/>
  <c r="A40" i="2"/>
  <c r="C41" i="2" l="1"/>
  <c r="D41" i="2" s="1"/>
  <c r="E41" i="2" l="1"/>
  <c r="G41" i="2"/>
  <c r="F41" i="2"/>
  <c r="B42" i="2"/>
  <c r="A41" i="2"/>
  <c r="C42" i="2" l="1"/>
  <c r="A42" i="2" l="1"/>
  <c r="D42" i="2"/>
  <c r="E42" i="2"/>
  <c r="G42" i="2"/>
  <c r="F42" i="2"/>
  <c r="B43" i="2"/>
  <c r="C43" i="2" l="1"/>
  <c r="A43" i="2" s="1"/>
  <c r="F43" i="2" l="1"/>
  <c r="D43" i="2"/>
  <c r="G43" i="2"/>
  <c r="E43" i="2"/>
  <c r="B44" i="2"/>
  <c r="C44" i="2" l="1"/>
  <c r="D44" i="2" s="1"/>
  <c r="F44" i="2" l="1"/>
  <c r="G44" i="2"/>
  <c r="E44" i="2"/>
  <c r="B45" i="2"/>
  <c r="A44" i="2"/>
  <c r="C45" i="2" l="1"/>
  <c r="D45" i="2" s="1"/>
  <c r="F45" i="2" l="1"/>
  <c r="E45" i="2"/>
  <c r="G45" i="2"/>
  <c r="B46" i="2"/>
  <c r="A45" i="2"/>
  <c r="C46" i="2" l="1"/>
  <c r="F46" i="2" s="1"/>
  <c r="G46" i="2" l="1"/>
  <c r="A46" i="2"/>
  <c r="D46" i="2"/>
  <c r="E46" i="2"/>
  <c r="B47" i="2"/>
  <c r="C47" i="2" l="1"/>
  <c r="E47" i="2" s="1"/>
  <c r="A47" i="2" l="1"/>
  <c r="F47" i="2"/>
  <c r="G47" i="2"/>
  <c r="D47" i="2"/>
  <c r="B48" i="2"/>
  <c r="C48" i="2" l="1"/>
  <c r="E48" i="2" s="1"/>
  <c r="D48" i="2" l="1"/>
  <c r="G48" i="2"/>
  <c r="F48" i="2"/>
  <c r="B49" i="2"/>
  <c r="A48" i="2"/>
  <c r="C49" i="2" l="1"/>
  <c r="E49" i="2" s="1"/>
  <c r="D49" i="2" l="1"/>
  <c r="F49" i="2"/>
  <c r="G49" i="2"/>
  <c r="B50" i="2"/>
  <c r="A49" i="2"/>
  <c r="C50" i="2" l="1"/>
  <c r="A50" i="2" l="1"/>
  <c r="E50" i="2"/>
  <c r="G50" i="2"/>
  <c r="D50" i="2"/>
  <c r="F50" i="2"/>
  <c r="B51" i="2"/>
  <c r="C51" i="2" l="1"/>
  <c r="A51" i="2" s="1"/>
  <c r="F51" i="2" l="1"/>
  <c r="D51" i="2"/>
  <c r="E51" i="2"/>
  <c r="G51" i="2"/>
  <c r="B52" i="2"/>
  <c r="C52" i="2" l="1"/>
  <c r="D52" i="2" l="1"/>
  <c r="E52" i="2"/>
  <c r="F52" i="2"/>
  <c r="G52" i="2"/>
  <c r="B53" i="2"/>
  <c r="A52" i="2"/>
  <c r="C53" i="2" l="1"/>
  <c r="G53" i="2" s="1"/>
  <c r="D53" i="2" l="1"/>
  <c r="F53" i="2"/>
  <c r="E53" i="2"/>
  <c r="B54" i="2"/>
  <c r="A53" i="2"/>
  <c r="C54" i="2" l="1"/>
  <c r="G54" i="2" s="1"/>
  <c r="E54" i="2" l="1"/>
  <c r="D54" i="2"/>
  <c r="A54" i="2"/>
  <c r="F54" i="2"/>
  <c r="B55" i="2"/>
  <c r="C55" i="2" l="1"/>
  <c r="A55" i="2" l="1"/>
  <c r="G55" i="2"/>
  <c r="F55" i="2"/>
  <c r="E55" i="2"/>
  <c r="D55" i="2"/>
  <c r="B56" i="2"/>
  <c r="C56" i="2" l="1"/>
  <c r="E56" i="2" s="1"/>
  <c r="D56" i="2" l="1"/>
  <c r="F56" i="2"/>
  <c r="G56" i="2"/>
  <c r="B57" i="2"/>
  <c r="A56" i="2"/>
  <c r="C57" i="2" l="1"/>
  <c r="E57" i="2" l="1"/>
  <c r="F57" i="2"/>
  <c r="G57" i="2"/>
  <c r="D57" i="2"/>
  <c r="B58" i="2"/>
  <c r="A57" i="2"/>
  <c r="C58" i="2" l="1"/>
  <c r="A58" i="2" s="1"/>
  <c r="E58" i="2" l="1"/>
  <c r="D58" i="2"/>
  <c r="F58" i="2"/>
  <c r="G58" i="2"/>
  <c r="B59" i="2"/>
  <c r="C59" i="2" l="1"/>
  <c r="A59" i="2" s="1"/>
  <c r="E59" i="2" l="1"/>
  <c r="D59" i="2"/>
  <c r="G59" i="2"/>
  <c r="F59" i="2"/>
  <c r="B60" i="2"/>
  <c r="C60" i="2" l="1"/>
  <c r="E60" i="2" s="1"/>
  <c r="D60" i="2" l="1"/>
  <c r="G60" i="2"/>
  <c r="F60" i="2"/>
  <c r="B61" i="2"/>
  <c r="A60" i="2"/>
  <c r="C61" i="2" l="1"/>
  <c r="E61" i="2" s="1"/>
  <c r="F61" i="2" l="1"/>
  <c r="D61" i="2"/>
  <c r="G61" i="2"/>
  <c r="B62" i="2"/>
  <c r="A61" i="2"/>
  <c r="C62" i="2" l="1"/>
  <c r="F62" i="2" s="1"/>
  <c r="G62" i="2" l="1"/>
  <c r="A62" i="2"/>
  <c r="E62" i="2"/>
  <c r="D62" i="2"/>
  <c r="B63" i="2"/>
  <c r="C63" i="2" l="1"/>
  <c r="F63" i="2" s="1"/>
  <c r="D63" i="2" l="1"/>
  <c r="E63" i="2"/>
  <c r="A63" i="2"/>
  <c r="G63" i="2"/>
  <c r="B64" i="2"/>
  <c r="C64" i="2" l="1"/>
  <c r="F64" i="2" s="1"/>
  <c r="D64" i="2" l="1"/>
  <c r="G64" i="2"/>
  <c r="E64" i="2"/>
  <c r="B65" i="2"/>
  <c r="A64" i="2"/>
  <c r="C65" i="2" l="1"/>
  <c r="F65" i="2" s="1"/>
  <c r="E65" i="2" l="1"/>
  <c r="D65" i="2"/>
  <c r="G65" i="2"/>
  <c r="B66" i="2"/>
  <c r="A65" i="2"/>
  <c r="C66" i="2" l="1"/>
  <c r="A66" i="2" l="1"/>
  <c r="F66" i="2"/>
  <c r="G66" i="2"/>
  <c r="E66" i="2"/>
  <c r="D66" i="2"/>
  <c r="B67" i="2"/>
  <c r="C67" i="2" l="1"/>
  <c r="A67" i="2" s="1"/>
  <c r="D67" i="2" l="1"/>
  <c r="G67" i="2"/>
  <c r="E67" i="2"/>
  <c r="F67" i="2"/>
  <c r="B68" i="2"/>
  <c r="C68" i="2" l="1"/>
  <c r="E68" i="2" s="1"/>
  <c r="D68" i="2" l="1"/>
  <c r="G68" i="2"/>
  <c r="F68" i="2"/>
  <c r="B69" i="2"/>
  <c r="A68" i="2"/>
  <c r="C69" i="2" l="1"/>
  <c r="E69" i="2" l="1"/>
  <c r="F69" i="2"/>
  <c r="G69" i="2"/>
  <c r="D69" i="2"/>
  <c r="B70" i="2"/>
  <c r="A69" i="2"/>
  <c r="C70" i="2" l="1"/>
  <c r="A70" i="2" s="1"/>
  <c r="E70" i="2" l="1"/>
  <c r="F70" i="2"/>
  <c r="G70" i="2"/>
  <c r="D70" i="2"/>
  <c r="B71" i="2"/>
  <c r="C71" i="2" l="1"/>
  <c r="E71" i="2" s="1"/>
  <c r="G71" i="2" l="1"/>
  <c r="F71" i="2"/>
  <c r="A71" i="2"/>
  <c r="D71" i="2"/>
  <c r="B72" i="2"/>
  <c r="C72" i="2" l="1"/>
  <c r="E72" i="2" s="1"/>
  <c r="D72" i="2" l="1"/>
  <c r="G72" i="2"/>
  <c r="F72" i="2"/>
  <c r="B73" i="2"/>
  <c r="A72" i="2"/>
  <c r="C73" i="2" l="1"/>
  <c r="F73" i="2" s="1"/>
  <c r="A73" i="2" l="1"/>
  <c r="E73" i="2"/>
  <c r="D73" i="2"/>
  <c r="G73" i="2"/>
  <c r="B74" i="2"/>
  <c r="C74" i="2" l="1"/>
  <c r="A74" i="2" l="1"/>
  <c r="F74" i="2"/>
  <c r="G74" i="2"/>
  <c r="E74" i="2"/>
  <c r="D74" i="2"/>
  <c r="B75" i="2"/>
  <c r="C75" i="2" l="1"/>
  <c r="A75" i="2" s="1"/>
  <c r="D75" i="2" l="1"/>
  <c r="F75" i="2"/>
  <c r="G75" i="2"/>
  <c r="E75" i="2"/>
  <c r="B76" i="2"/>
  <c r="C76" i="2" l="1"/>
  <c r="A76" i="2" l="1"/>
  <c r="D76" i="2"/>
  <c r="G76" i="2"/>
  <c r="F76" i="2"/>
  <c r="E76" i="2"/>
  <c r="B77" i="2"/>
  <c r="C77" i="2" l="1"/>
  <c r="F77" i="2" s="1"/>
  <c r="E77" i="2" l="1"/>
  <c r="D77" i="2"/>
  <c r="G77" i="2"/>
  <c r="B78" i="2"/>
  <c r="A77" i="2"/>
  <c r="C78" i="2" l="1"/>
  <c r="A78" i="2" l="1"/>
  <c r="F78" i="2"/>
  <c r="E78" i="2"/>
  <c r="G78" i="2"/>
  <c r="D78" i="2"/>
  <c r="B79" i="2"/>
  <c r="C79" i="2" l="1"/>
  <c r="A79" i="2" s="1"/>
  <c r="D79" i="2" l="1"/>
  <c r="F79" i="2"/>
  <c r="E79" i="2"/>
  <c r="G79" i="2"/>
  <c r="B80" i="2"/>
  <c r="C80" i="2" l="1"/>
  <c r="D80" i="2" s="1"/>
  <c r="F80" i="2" l="1"/>
  <c r="E80" i="2"/>
  <c r="G80" i="2"/>
  <c r="B81" i="2"/>
  <c r="A80" i="2"/>
  <c r="C81" i="2" l="1"/>
  <c r="D81" i="2" s="1"/>
  <c r="F81" i="2" l="1"/>
  <c r="E81" i="2"/>
  <c r="G81" i="2"/>
  <c r="B82" i="2"/>
  <c r="A81" i="2"/>
  <c r="C82" i="2" l="1"/>
  <c r="D82" i="2" s="1"/>
  <c r="F82" i="2" l="1"/>
  <c r="E82" i="2"/>
  <c r="A82" i="2"/>
  <c r="G82" i="2"/>
  <c r="B83" i="2"/>
  <c r="C83" i="2" l="1"/>
  <c r="A83" i="2" l="1"/>
  <c r="D83" i="2"/>
  <c r="F83" i="2"/>
  <c r="G83" i="2"/>
  <c r="E83" i="2"/>
  <c r="B84" i="2"/>
  <c r="C84" i="2" l="1"/>
  <c r="G84" i="2" s="1"/>
  <c r="E84" i="2" l="1"/>
  <c r="D84" i="2"/>
  <c r="F84" i="2"/>
  <c r="B85" i="2"/>
  <c r="A84" i="2"/>
  <c r="C85" i="2" l="1"/>
  <c r="G85" i="2" s="1"/>
  <c r="E85" i="2" l="1"/>
  <c r="D85" i="2"/>
  <c r="F85" i="2"/>
  <c r="B86" i="2"/>
  <c r="A85" i="2"/>
  <c r="C86" i="2" l="1"/>
  <c r="D86" i="2" s="1"/>
  <c r="E86" i="2" l="1"/>
  <c r="A86" i="2"/>
  <c r="G86" i="2"/>
  <c r="F86" i="2"/>
  <c r="B87" i="2"/>
  <c r="C87" i="2" l="1"/>
  <c r="A87" i="2" l="1"/>
  <c r="D87" i="2"/>
  <c r="F87" i="2"/>
  <c r="E87" i="2"/>
  <c r="G87" i="2"/>
  <c r="B88" i="2"/>
  <c r="C88" i="2" l="1"/>
  <c r="E88" i="2" s="1"/>
  <c r="G88" i="2" l="1"/>
  <c r="D88" i="2"/>
  <c r="F88" i="2"/>
  <c r="B89" i="2"/>
  <c r="A88" i="2"/>
  <c r="C89" i="2" l="1"/>
  <c r="E89" i="2" l="1"/>
  <c r="F89" i="2"/>
  <c r="G89" i="2"/>
  <c r="D89" i="2"/>
  <c r="B90" i="2"/>
  <c r="A89" i="2"/>
  <c r="C90" i="2" l="1"/>
  <c r="A90" i="2" s="1"/>
  <c r="E90" i="2" l="1"/>
  <c r="F90" i="2"/>
  <c r="G90" i="2"/>
  <c r="D90" i="2"/>
  <c r="B91" i="2"/>
  <c r="C91" i="2" l="1"/>
  <c r="A91" i="2" l="1"/>
  <c r="E91" i="2"/>
  <c r="F91" i="2"/>
  <c r="G91" i="2"/>
  <c r="D91" i="2"/>
  <c r="B92" i="2"/>
  <c r="C92" i="2" l="1"/>
  <c r="G92" i="2" s="1"/>
  <c r="D92" i="2" l="1"/>
  <c r="E92" i="2"/>
  <c r="F92" i="2"/>
  <c r="B93" i="2"/>
  <c r="A92" i="2"/>
  <c r="C93" i="2" l="1"/>
  <c r="G93" i="2" s="1"/>
  <c r="D93" i="2" l="1"/>
  <c r="E93" i="2"/>
  <c r="F93" i="2"/>
  <c r="B94" i="2"/>
  <c r="A93" i="2"/>
  <c r="C94" i="2" l="1"/>
  <c r="G94" i="2" s="1"/>
  <c r="D94" i="2" l="1"/>
  <c r="E94" i="2"/>
  <c r="F94" i="2"/>
  <c r="B95" i="2"/>
  <c r="A94" i="2"/>
  <c r="C95" i="2" l="1"/>
  <c r="A95" i="2" l="1"/>
  <c r="G95" i="2"/>
  <c r="D95" i="2"/>
  <c r="E95" i="2"/>
  <c r="F95" i="2"/>
  <c r="B96" i="2"/>
  <c r="G96" i="2" l="1"/>
  <c r="C96" i="2"/>
  <c r="A96" i="2" s="1"/>
  <c r="F96" i="2" l="1"/>
  <c r="D96" i="2"/>
  <c r="E96" i="2"/>
  <c r="B97" i="2"/>
  <c r="C97" i="2" l="1"/>
  <c r="F97" i="2" l="1"/>
  <c r="G97" i="2"/>
  <c r="D97" i="2"/>
  <c r="E97" i="2"/>
  <c r="B98" i="2"/>
  <c r="A97" i="2"/>
  <c r="C98" i="2" l="1"/>
  <c r="E98" i="2" s="1"/>
  <c r="F98" i="2" l="1"/>
  <c r="G98" i="2"/>
  <c r="D98" i="2"/>
  <c r="B99" i="2"/>
  <c r="A98" i="2"/>
  <c r="C99" i="2" l="1"/>
  <c r="A99" i="2" l="1"/>
  <c r="E99" i="2"/>
  <c r="F99" i="2"/>
  <c r="G99" i="2"/>
  <c r="D99" i="2"/>
  <c r="B100" i="2"/>
  <c r="C100" i="2" l="1"/>
  <c r="A100" i="2" s="1"/>
  <c r="D100" i="2" l="1"/>
  <c r="E100" i="2"/>
  <c r="F100" i="2"/>
  <c r="G100" i="2"/>
  <c r="B101" i="2"/>
  <c r="C101" i="2" l="1"/>
  <c r="G101" i="2" s="1"/>
  <c r="D101" i="2" l="1"/>
  <c r="E101" i="2"/>
  <c r="F101" i="2"/>
  <c r="B102" i="2"/>
  <c r="A101" i="2"/>
  <c r="C102" i="2" l="1"/>
  <c r="G102" i="2" s="1"/>
  <c r="D102" i="2" l="1"/>
  <c r="E102" i="2"/>
  <c r="F102" i="2"/>
  <c r="B103" i="2"/>
  <c r="A102" i="2"/>
  <c r="C103" i="2" l="1"/>
  <c r="G103" i="2" s="1"/>
  <c r="E103" i="2" l="1"/>
  <c r="F103" i="2"/>
  <c r="D103" i="2"/>
  <c r="B104" i="2"/>
  <c r="A103" i="2"/>
  <c r="C104" i="2" l="1"/>
  <c r="F104" i="2" s="1"/>
  <c r="E104" i="2" l="1"/>
  <c r="A104" i="2"/>
  <c r="G104" i="2"/>
  <c r="D104" i="2"/>
  <c r="B105" i="2"/>
  <c r="C105" i="2" l="1"/>
  <c r="A105" i="2" l="1"/>
  <c r="F105" i="2"/>
  <c r="D105" i="2"/>
  <c r="E105" i="2"/>
  <c r="G105" i="2"/>
  <c r="B106" i="2"/>
  <c r="D106" i="2" l="1"/>
  <c r="F106" i="2"/>
  <c r="C106" i="2"/>
  <c r="E106" i="2" s="1"/>
  <c r="G106" i="2" l="1"/>
  <c r="B107" i="2"/>
  <c r="A106" i="2"/>
  <c r="C107" i="2" l="1"/>
  <c r="E107" i="2" l="1"/>
  <c r="F107" i="2"/>
  <c r="G107" i="2"/>
  <c r="D107" i="2"/>
  <c r="B108" i="2"/>
  <c r="A107" i="2"/>
  <c r="C108" i="2" l="1"/>
  <c r="A108" i="2" s="1"/>
  <c r="E108" i="2" l="1"/>
  <c r="F108" i="2"/>
  <c r="G108" i="2"/>
  <c r="D108" i="2"/>
  <c r="B109" i="2"/>
  <c r="C109" i="2" l="1"/>
  <c r="F109" i="2" l="1"/>
  <c r="E109" i="2"/>
  <c r="D109" i="2"/>
  <c r="G109" i="2"/>
  <c r="B110" i="2"/>
  <c r="A109" i="2"/>
  <c r="C110" i="2" l="1"/>
  <c r="G110" i="2" s="1"/>
  <c r="E110" i="2" l="1"/>
  <c r="F110" i="2"/>
  <c r="D110" i="2"/>
  <c r="B111" i="2"/>
  <c r="A110" i="2"/>
  <c r="C111" i="2" l="1"/>
  <c r="G111" i="2" s="1"/>
  <c r="A111" i="2" l="1"/>
  <c r="E111" i="2"/>
  <c r="F111" i="2"/>
  <c r="D111" i="2"/>
  <c r="B112" i="2"/>
  <c r="C112" i="2" l="1"/>
  <c r="A112" i="2" l="1"/>
  <c r="G112" i="2"/>
  <c r="D112" i="2"/>
  <c r="E112" i="2"/>
  <c r="F112" i="2"/>
  <c r="B113" i="2"/>
  <c r="C113" i="2" l="1"/>
  <c r="E113" i="2" s="1"/>
  <c r="F113" i="2" l="1"/>
  <c r="G113" i="2"/>
  <c r="D113" i="2"/>
  <c r="B114" i="2"/>
  <c r="A113" i="2"/>
  <c r="C114" i="2" l="1"/>
  <c r="E114" i="2" l="1"/>
  <c r="G114" i="2"/>
  <c r="F114" i="2"/>
  <c r="D114" i="2"/>
  <c r="B115" i="2"/>
  <c r="A114" i="2"/>
  <c r="F115" i="2" l="1"/>
  <c r="C115" i="2"/>
  <c r="A115" i="2" s="1"/>
  <c r="E115" i="2" l="1"/>
  <c r="G115" i="2"/>
  <c r="D115" i="2"/>
  <c r="B116" i="2"/>
  <c r="C116" i="2" l="1"/>
  <c r="A116" i="2" l="1"/>
  <c r="E116" i="2"/>
  <c r="G116" i="2"/>
  <c r="F116" i="2"/>
  <c r="D116" i="2"/>
  <c r="B117" i="2"/>
  <c r="C117" i="2" l="1"/>
  <c r="G117" i="2" s="1"/>
  <c r="D117" i="2" l="1"/>
  <c r="F117" i="2"/>
  <c r="A117" i="2"/>
  <c r="E117" i="2"/>
  <c r="B118" i="2"/>
  <c r="C118" i="2" l="1"/>
  <c r="A118" i="2" l="1"/>
  <c r="G118" i="2"/>
  <c r="D118" i="2"/>
  <c r="F118" i="2"/>
  <c r="E118" i="2"/>
  <c r="B119" i="2"/>
  <c r="C119" i="2" l="1"/>
  <c r="F119" i="2" s="1"/>
  <c r="E119" i="2" l="1"/>
  <c r="G119" i="2"/>
  <c r="D119" i="2"/>
  <c r="B120" i="2"/>
  <c r="A119" i="2"/>
  <c r="C120" i="2" l="1"/>
  <c r="A120" i="2" l="1"/>
  <c r="F120" i="2"/>
  <c r="E120" i="2"/>
  <c r="G120" i="2"/>
  <c r="D120" i="2"/>
  <c r="B121" i="2"/>
  <c r="C121" i="2" l="1"/>
  <c r="A121" i="2" s="1"/>
  <c r="D121" i="2" l="1"/>
  <c r="F121" i="2"/>
  <c r="E121" i="2"/>
  <c r="G121" i="2"/>
  <c r="B122" i="2"/>
  <c r="D122" i="2" l="1"/>
  <c r="C122" i="2"/>
  <c r="G122" i="2" s="1"/>
  <c r="E122" i="2" l="1"/>
  <c r="F122" i="2"/>
  <c r="B123" i="2"/>
  <c r="A122" i="2"/>
  <c r="C123" i="2" l="1"/>
  <c r="A123" i="2" l="1"/>
  <c r="G123" i="2"/>
  <c r="D123" i="2"/>
  <c r="E123" i="2"/>
  <c r="F123" i="2"/>
  <c r="B124" i="2"/>
  <c r="C124" i="2" l="1"/>
  <c r="A124" i="2" s="1"/>
  <c r="F124" i="2" l="1"/>
  <c r="G124" i="2"/>
  <c r="D124" i="2"/>
  <c r="E124" i="2"/>
  <c r="B125" i="2"/>
  <c r="C125" i="2" l="1"/>
  <c r="E125" i="2" s="1"/>
  <c r="G125" i="2" l="1"/>
  <c r="F125" i="2"/>
  <c r="D125" i="2"/>
  <c r="B126" i="2"/>
  <c r="A125" i="2"/>
  <c r="C126" i="2" l="1"/>
  <c r="E126" i="2" s="1"/>
  <c r="G126" i="2" l="1"/>
  <c r="F126" i="2"/>
  <c r="D126" i="2"/>
  <c r="B127" i="2"/>
  <c r="A126" i="2"/>
  <c r="C127" i="2" l="1"/>
  <c r="A127" i="2" l="1"/>
  <c r="E127" i="2"/>
  <c r="G127" i="2"/>
  <c r="F127" i="2"/>
  <c r="D127" i="2"/>
  <c r="B128" i="2"/>
  <c r="G128" i="2" l="1"/>
  <c r="C128" i="2"/>
  <c r="A128" i="2" s="1"/>
  <c r="D128" i="2" l="1"/>
  <c r="E128" i="2"/>
  <c r="F128" i="2"/>
  <c r="B129" i="2"/>
  <c r="C129" i="2" l="1"/>
  <c r="D129" i="2" l="1"/>
  <c r="E129" i="2"/>
  <c r="G129" i="2"/>
  <c r="F129" i="2"/>
  <c r="B130" i="2"/>
  <c r="A129" i="2"/>
  <c r="C130" i="2" l="1"/>
  <c r="A130" i="2" s="1"/>
  <c r="D130" i="2" l="1"/>
  <c r="E130" i="2"/>
  <c r="G130" i="2"/>
  <c r="F130" i="2"/>
  <c r="B131" i="2"/>
  <c r="C131" i="2" l="1"/>
  <c r="A131" i="2" l="1"/>
  <c r="D131" i="2"/>
  <c r="E131" i="2"/>
  <c r="G131" i="2"/>
  <c r="F131" i="2"/>
  <c r="B132" i="2"/>
  <c r="C132" i="2" l="1"/>
  <c r="G132" i="2" s="1"/>
  <c r="F132" i="2" l="1"/>
  <c r="D132" i="2"/>
  <c r="A132" i="2"/>
  <c r="E132" i="2"/>
  <c r="B133" i="2"/>
  <c r="C133" i="2" l="1"/>
  <c r="A133" i="2" l="1"/>
  <c r="G133" i="2"/>
  <c r="D133" i="2"/>
  <c r="E133" i="2"/>
  <c r="F133" i="2"/>
  <c r="B134" i="2"/>
  <c r="C134" i="2" l="1"/>
  <c r="D134" i="2" s="1"/>
  <c r="F134" i="2" l="1"/>
  <c r="E134" i="2"/>
  <c r="G134" i="2"/>
  <c r="B135" i="2"/>
  <c r="A134" i="2"/>
  <c r="C135" i="2" l="1"/>
  <c r="D135" i="2" l="1"/>
  <c r="F135" i="2"/>
  <c r="G135" i="2"/>
  <c r="E135" i="2"/>
  <c r="B136" i="2"/>
  <c r="A135" i="2"/>
  <c r="C136" i="2" l="1"/>
  <c r="E136" i="2" s="1"/>
  <c r="D136" i="2" l="1"/>
  <c r="F136" i="2"/>
  <c r="G136" i="2"/>
  <c r="B137" i="2"/>
  <c r="A136" i="2"/>
  <c r="C137" i="2" l="1"/>
  <c r="E137" i="2" l="1"/>
  <c r="D137" i="2"/>
  <c r="G137" i="2"/>
  <c r="F137" i="2"/>
  <c r="B138" i="2"/>
  <c r="A137" i="2"/>
  <c r="C138" i="2" l="1"/>
  <c r="F138" i="2" s="1"/>
  <c r="E138" i="2" l="1"/>
  <c r="D138" i="2"/>
  <c r="G138" i="2"/>
  <c r="B139" i="2"/>
  <c r="A138" i="2"/>
  <c r="C139" i="2" l="1"/>
  <c r="A139" i="2" l="1"/>
  <c r="F139" i="2"/>
  <c r="E139" i="2"/>
  <c r="D139" i="2"/>
  <c r="G139" i="2"/>
  <c r="B140" i="2"/>
  <c r="C140" i="2" l="1"/>
  <c r="A140" i="2" s="1"/>
  <c r="G140" i="2" l="1"/>
  <c r="F140" i="2"/>
  <c r="E140" i="2"/>
  <c r="D140" i="2"/>
  <c r="B141" i="2"/>
  <c r="C141" i="2" l="1"/>
  <c r="A141" i="2" s="1"/>
  <c r="G141" i="2" l="1"/>
  <c r="F141" i="2"/>
  <c r="E141" i="2"/>
  <c r="D141" i="2"/>
  <c r="B142" i="2"/>
  <c r="C142" i="2" l="1"/>
  <c r="A142" i="2" s="1"/>
  <c r="G142" i="2" l="1"/>
  <c r="F142" i="2"/>
  <c r="E142" i="2"/>
  <c r="D142" i="2"/>
  <c r="B143" i="2"/>
  <c r="C143" i="2" l="1"/>
  <c r="A143" i="2" l="1"/>
  <c r="G143" i="2"/>
  <c r="E143" i="2"/>
  <c r="F143" i="2"/>
  <c r="D143" i="2"/>
  <c r="B144" i="2"/>
  <c r="C144" i="2" l="1"/>
  <c r="F144" i="2" s="1"/>
  <c r="D144" i="2" l="1"/>
  <c r="G144" i="2"/>
  <c r="E144" i="2"/>
  <c r="B145" i="2"/>
  <c r="A144" i="2"/>
  <c r="C145" i="2" l="1"/>
  <c r="F145" i="2" l="1"/>
  <c r="D145" i="2"/>
  <c r="G145" i="2"/>
  <c r="E145" i="2"/>
  <c r="B146" i="2"/>
  <c r="A145" i="2"/>
  <c r="C146" i="2" l="1"/>
  <c r="E146" i="2" s="1"/>
  <c r="F146" i="2" l="1"/>
  <c r="D146" i="2"/>
  <c r="G146" i="2"/>
  <c r="B147" i="2"/>
  <c r="A146" i="2"/>
  <c r="C147" i="2" l="1"/>
  <c r="E147" i="2" l="1"/>
  <c r="F147" i="2"/>
  <c r="G147" i="2"/>
  <c r="D147" i="2"/>
  <c r="B148" i="2"/>
  <c r="A147" i="2"/>
  <c r="C148" i="2" l="1"/>
  <c r="A148" i="2" s="1"/>
  <c r="E148" i="2" l="1"/>
  <c r="F148" i="2"/>
  <c r="G148" i="2"/>
  <c r="D148" i="2"/>
  <c r="B149" i="2"/>
  <c r="C149" i="2" l="1"/>
  <c r="E149" i="2" l="1"/>
  <c r="F149" i="2"/>
  <c r="G149" i="2"/>
  <c r="D149" i="2"/>
  <c r="B150" i="2"/>
  <c r="A149" i="2"/>
  <c r="C150" i="2" l="1"/>
  <c r="A150" i="2" s="1"/>
  <c r="E150" i="2" l="1"/>
  <c r="F150" i="2"/>
  <c r="G150" i="2"/>
  <c r="D150" i="2"/>
  <c r="B151" i="2"/>
  <c r="C151" i="2" l="1"/>
  <c r="A151" i="2" l="1"/>
  <c r="E151" i="2"/>
  <c r="F151" i="2"/>
  <c r="G151" i="2"/>
  <c r="D151" i="2"/>
  <c r="B152" i="2"/>
  <c r="C152" i="2" l="1"/>
  <c r="G152" i="2" s="1"/>
  <c r="E152" i="2" l="1"/>
  <c r="D152" i="2"/>
  <c r="F152" i="2"/>
  <c r="B153" i="2"/>
  <c r="A152" i="2"/>
  <c r="C153" i="2" l="1"/>
  <c r="G153" i="2" l="1"/>
  <c r="F153" i="2"/>
  <c r="D153" i="2"/>
  <c r="E153" i="2"/>
  <c r="B154" i="2"/>
  <c r="A153" i="2"/>
  <c r="G154" i="2" l="1"/>
  <c r="C154" i="2"/>
  <c r="A154" i="2" s="1"/>
  <c r="F154" i="2" l="1"/>
  <c r="D154" i="2"/>
  <c r="E154" i="2"/>
  <c r="B155" i="2"/>
  <c r="C155" i="2" l="1"/>
  <c r="A155" i="2" l="1"/>
  <c r="G155" i="2"/>
  <c r="F155" i="2"/>
  <c r="D155" i="2"/>
  <c r="E155" i="2"/>
  <c r="B156" i="2"/>
  <c r="C156" i="2" l="1"/>
  <c r="D156" i="2" s="1"/>
  <c r="G156" i="2" l="1"/>
  <c r="F156" i="2"/>
  <c r="E156" i="2"/>
  <c r="B157" i="2"/>
  <c r="A156" i="2"/>
  <c r="C157" i="2" l="1"/>
  <c r="A157" i="2" l="1"/>
  <c r="D157" i="2"/>
  <c r="G157" i="2"/>
  <c r="F157" i="2"/>
  <c r="E157" i="2"/>
  <c r="B158" i="2"/>
  <c r="C158" i="2" l="1"/>
  <c r="A158" i="2" s="1"/>
  <c r="E158" i="2" l="1"/>
  <c r="D158" i="2"/>
  <c r="G158" i="2"/>
  <c r="F158" i="2"/>
  <c r="B159" i="2"/>
  <c r="C159" i="2" l="1"/>
  <c r="A159" i="2" l="1"/>
  <c r="E159" i="2"/>
  <c r="D159" i="2"/>
  <c r="G159" i="2"/>
  <c r="F159" i="2"/>
  <c r="B160" i="2"/>
  <c r="C160" i="2" l="1"/>
  <c r="A160" i="2" s="1"/>
  <c r="F160" i="2" l="1"/>
  <c r="E160" i="2"/>
  <c r="D160" i="2"/>
  <c r="G160" i="2"/>
  <c r="B161" i="2"/>
  <c r="C161" i="2" l="1"/>
  <c r="F161" i="2" l="1"/>
  <c r="E161" i="2"/>
  <c r="D161" i="2"/>
  <c r="G161" i="2"/>
  <c r="B162" i="2"/>
  <c r="A161" i="2"/>
  <c r="C162" i="2" l="1"/>
  <c r="G162" i="2" s="1"/>
  <c r="E162" i="2" l="1"/>
  <c r="D162" i="2"/>
  <c r="F162" i="2"/>
  <c r="B163" i="2"/>
  <c r="A162" i="2"/>
  <c r="C163" i="2" l="1"/>
  <c r="G163" i="2" l="1"/>
  <c r="E163" i="2"/>
  <c r="D163" i="2"/>
  <c r="F163" i="2"/>
  <c r="B164" i="2"/>
  <c r="A163" i="2"/>
  <c r="C164" i="2" l="1"/>
  <c r="D164" i="2" s="1"/>
  <c r="G164" i="2" l="1"/>
  <c r="E164" i="2"/>
  <c r="F164" i="2"/>
  <c r="B165" i="2"/>
  <c r="A164" i="2"/>
  <c r="C165" i="2" l="1"/>
  <c r="A165" i="2" l="1"/>
  <c r="D165" i="2"/>
  <c r="G165" i="2"/>
  <c r="E165" i="2"/>
  <c r="F165" i="2"/>
  <c r="B166" i="2"/>
  <c r="C166" i="2" l="1"/>
  <c r="G166" i="2" s="1"/>
  <c r="F166" i="2" l="1"/>
  <c r="E166" i="2"/>
  <c r="D166" i="2"/>
  <c r="B167" i="2"/>
  <c r="A166" i="2"/>
  <c r="C167" i="2" l="1"/>
  <c r="A167" i="2" l="1"/>
  <c r="G167" i="2"/>
  <c r="F167" i="2"/>
  <c r="E167" i="2"/>
  <c r="D167" i="2"/>
  <c r="B168" i="2"/>
  <c r="C168" i="2" l="1"/>
  <c r="E168" i="2" s="1"/>
  <c r="D168" i="2" l="1"/>
  <c r="G168" i="2"/>
  <c r="F168" i="2"/>
  <c r="B169" i="2"/>
  <c r="A168" i="2"/>
  <c r="C169" i="2" l="1"/>
  <c r="A169" i="2" l="1"/>
  <c r="E169" i="2"/>
  <c r="D169" i="2"/>
  <c r="G169" i="2"/>
  <c r="F169" i="2"/>
  <c r="B170" i="2"/>
  <c r="E170" i="2" l="1"/>
  <c r="D170" i="2"/>
  <c r="C170" i="2"/>
  <c r="G170" i="2" s="1"/>
  <c r="F170" i="2" l="1"/>
  <c r="B171" i="2"/>
  <c r="A170" i="2"/>
  <c r="C171" i="2" l="1"/>
  <c r="A171" i="2" l="1"/>
  <c r="G171" i="2"/>
  <c r="F171" i="2"/>
  <c r="D171" i="2"/>
  <c r="E171" i="2"/>
  <c r="B172" i="2"/>
  <c r="F172" i="2" l="1"/>
  <c r="C172" i="2"/>
  <c r="D172" i="2" s="1"/>
  <c r="E172" i="2" l="1"/>
  <c r="G172" i="2"/>
  <c r="B173" i="2"/>
  <c r="A172" i="2"/>
  <c r="C173" i="2" l="1"/>
  <c r="A173" i="2" l="1"/>
  <c r="D173" i="2"/>
  <c r="G173" i="2"/>
  <c r="E173" i="2"/>
  <c r="F173" i="2"/>
  <c r="B174" i="2"/>
  <c r="C174" i="2" l="1"/>
  <c r="A174" i="2" s="1"/>
  <c r="G174" i="2" l="1"/>
  <c r="E174" i="2"/>
  <c r="D174" i="2"/>
  <c r="F174" i="2"/>
  <c r="B175" i="2"/>
  <c r="C175" i="2" l="1"/>
  <c r="E175" i="2" l="1"/>
  <c r="G175" i="2"/>
  <c r="D175" i="2"/>
  <c r="F175" i="2"/>
  <c r="B176" i="2"/>
  <c r="A175" i="2"/>
  <c r="D176" i="2" l="1"/>
  <c r="G176" i="2"/>
  <c r="C176" i="2"/>
  <c r="F176" i="2" s="1"/>
  <c r="E176" i="2" l="1"/>
  <c r="B177" i="2"/>
  <c r="A176" i="2"/>
  <c r="C177" i="2" l="1"/>
  <c r="A177" i="2" l="1"/>
  <c r="F177" i="2"/>
  <c r="E177" i="2"/>
  <c r="G177" i="2"/>
  <c r="D177" i="2"/>
  <c r="B178" i="2"/>
  <c r="C178" i="2" l="1"/>
  <c r="E178" i="2" s="1"/>
  <c r="D178" i="2" l="1"/>
  <c r="F178" i="2"/>
  <c r="G178" i="2"/>
  <c r="B179" i="2"/>
  <c r="A178" i="2"/>
  <c r="C179" i="2" l="1"/>
  <c r="E179" i="2" l="1"/>
  <c r="D179" i="2"/>
  <c r="F179" i="2"/>
  <c r="G179" i="2"/>
  <c r="B180" i="2"/>
  <c r="A179" i="2"/>
  <c r="C180" i="2" l="1"/>
  <c r="A180" i="2" s="1"/>
  <c r="E180" i="2" l="1"/>
  <c r="F180" i="2"/>
  <c r="D180" i="2"/>
  <c r="G180" i="2"/>
  <c r="B181" i="2"/>
  <c r="C181" i="2" l="1"/>
  <c r="A181" i="2" l="1"/>
  <c r="E181" i="2"/>
  <c r="F181" i="2"/>
  <c r="D181" i="2"/>
  <c r="G181" i="2"/>
  <c r="B182" i="2"/>
  <c r="C182" i="2" l="1"/>
  <c r="D182" i="2" s="1"/>
  <c r="G182" i="2" l="1"/>
  <c r="F182" i="2"/>
  <c r="E182" i="2"/>
  <c r="B183" i="2"/>
  <c r="A182" i="2"/>
  <c r="C183" i="2" l="1"/>
  <c r="A183" i="2" l="1"/>
  <c r="D183" i="2"/>
  <c r="G183" i="2"/>
  <c r="F183" i="2"/>
  <c r="E183" i="2"/>
  <c r="B184" i="2"/>
  <c r="C184" i="2" l="1"/>
  <c r="A184" i="2" s="1"/>
  <c r="G184" i="2" l="1"/>
  <c r="E184" i="2"/>
  <c r="D184" i="2"/>
  <c r="F184" i="2"/>
  <c r="B185" i="2"/>
  <c r="C185" i="2" l="1"/>
  <c r="A185" i="2" l="1"/>
  <c r="E185" i="2"/>
  <c r="D185" i="2"/>
  <c r="G185" i="2"/>
  <c r="F185" i="2"/>
  <c r="B186" i="2"/>
  <c r="C186" i="2" l="1"/>
  <c r="G186" i="2" s="1"/>
  <c r="F186" i="2" l="1"/>
  <c r="D186" i="2"/>
  <c r="E186" i="2"/>
  <c r="B187" i="2"/>
  <c r="A186" i="2"/>
  <c r="C187" i="2" l="1"/>
  <c r="G187" i="2" l="1"/>
  <c r="F187" i="2"/>
  <c r="D187" i="2"/>
  <c r="E187" i="2"/>
  <c r="B188" i="2"/>
  <c r="A187" i="2"/>
  <c r="C188" i="2" l="1"/>
  <c r="A188" i="2" s="1"/>
  <c r="G188" i="2" l="1"/>
  <c r="D188" i="2"/>
  <c r="F188" i="2"/>
  <c r="E188" i="2"/>
  <c r="B189" i="2"/>
  <c r="C189" i="2" l="1"/>
  <c r="A189" i="2" s="1"/>
  <c r="F189" i="2" l="1"/>
  <c r="G189" i="2"/>
  <c r="D189" i="2"/>
  <c r="E189" i="2"/>
  <c r="B190" i="2"/>
  <c r="D190" i="2" l="1"/>
  <c r="C190" i="2"/>
  <c r="E190" i="2" s="1"/>
  <c r="F190" i="2" l="1"/>
  <c r="G190" i="2"/>
  <c r="B191" i="2"/>
  <c r="A190" i="2"/>
  <c r="C191" i="2" l="1"/>
  <c r="E191" i="2" l="1"/>
  <c r="F191" i="2"/>
  <c r="D191" i="2"/>
  <c r="G191" i="2"/>
  <c r="B192" i="2"/>
  <c r="A191" i="2"/>
  <c r="C192" i="2" l="1"/>
  <c r="A192" i="2" s="1"/>
  <c r="E192" i="2" l="1"/>
  <c r="D192" i="2"/>
  <c r="F192" i="2"/>
  <c r="G192" i="2"/>
  <c r="B193" i="2"/>
  <c r="C193" i="2" l="1"/>
  <c r="A193" i="2" l="1"/>
  <c r="F193" i="2"/>
  <c r="E193" i="2"/>
  <c r="D193" i="2"/>
  <c r="G193" i="2"/>
  <c r="B194" i="2"/>
  <c r="C194" i="2" l="1"/>
  <c r="D194" i="2" s="1"/>
  <c r="G194" i="2" l="1"/>
  <c r="F194" i="2"/>
  <c r="E194" i="2"/>
  <c r="B195" i="2"/>
  <c r="A194" i="2"/>
  <c r="C195" i="2" l="1"/>
  <c r="D195" i="2" l="1"/>
  <c r="G195" i="2"/>
  <c r="F195" i="2"/>
  <c r="E195" i="2"/>
  <c r="B196" i="2"/>
  <c r="A195" i="2"/>
  <c r="C196" i="2" l="1"/>
  <c r="E196" i="2" s="1"/>
  <c r="D196" i="2" l="1"/>
  <c r="G196" i="2"/>
  <c r="A196" i="2"/>
  <c r="F196" i="2"/>
  <c r="B197" i="2"/>
  <c r="C197" i="2" l="1"/>
  <c r="A197" i="2" l="1"/>
  <c r="E197" i="2"/>
  <c r="G197" i="2"/>
  <c r="D197" i="2"/>
  <c r="F197" i="2"/>
  <c r="B198" i="2"/>
  <c r="C198" i="2" l="1"/>
  <c r="D198" i="2" s="1"/>
  <c r="F198" i="2" l="1"/>
  <c r="E198" i="2"/>
  <c r="G198" i="2"/>
  <c r="B199" i="2"/>
  <c r="A198" i="2"/>
  <c r="C199" i="2" l="1"/>
  <c r="D199" i="2" s="1"/>
  <c r="F199" i="2" l="1"/>
  <c r="G199" i="2"/>
  <c r="E199" i="2"/>
  <c r="B200" i="2"/>
  <c r="A199" i="2"/>
  <c r="C200" i="2" l="1"/>
  <c r="A200" i="2" l="1"/>
  <c r="D200" i="2"/>
  <c r="E200" i="2"/>
  <c r="F200" i="2"/>
  <c r="G200" i="2"/>
  <c r="B201" i="2"/>
  <c r="C201" i="2" l="1"/>
  <c r="A201" i="2" s="1"/>
  <c r="G201" i="2" l="1"/>
  <c r="D201" i="2"/>
  <c r="F201" i="2"/>
  <c r="E201" i="2"/>
  <c r="B202" i="2"/>
  <c r="C202" i="2" l="1"/>
  <c r="D202" i="2" l="1"/>
  <c r="F202" i="2"/>
  <c r="G202" i="2"/>
  <c r="E202" i="2"/>
  <c r="B203" i="2"/>
  <c r="A202" i="2"/>
  <c r="C203" i="2" l="1"/>
  <c r="G203" i="2" s="1"/>
  <c r="D203" i="2" l="1"/>
  <c r="E203" i="2"/>
  <c r="F203" i="2"/>
  <c r="B204" i="2"/>
  <c r="A203" i="2"/>
  <c r="C204" i="2" l="1"/>
  <c r="A204" i="2" l="1"/>
  <c r="G204" i="2"/>
  <c r="E204" i="2"/>
  <c r="F204" i="2"/>
  <c r="D204" i="2"/>
  <c r="B205" i="2"/>
  <c r="C205" i="2" l="1"/>
  <c r="A205" i="2" s="1"/>
  <c r="D205" i="2" l="1"/>
  <c r="F205" i="2"/>
  <c r="G205" i="2"/>
  <c r="E205" i="2"/>
  <c r="B206" i="2"/>
  <c r="C206" i="2" l="1"/>
  <c r="F206" i="2" l="1"/>
  <c r="D206" i="2"/>
  <c r="G206" i="2"/>
  <c r="E206" i="2"/>
  <c r="B207" i="2"/>
  <c r="A206" i="2"/>
  <c r="C207" i="2" l="1"/>
  <c r="G207" i="2" s="1"/>
  <c r="F207" i="2" l="1"/>
  <c r="E207" i="2"/>
  <c r="D207" i="2"/>
  <c r="B208" i="2"/>
  <c r="A207" i="2"/>
  <c r="C208" i="2" l="1"/>
  <c r="A208" i="2" l="1"/>
  <c r="D208" i="2"/>
  <c r="G208" i="2"/>
  <c r="G4" i="2" s="1"/>
  <c r="F208" i="2"/>
  <c r="F4" i="2" s="1"/>
  <c r="E208" i="2"/>
  <c r="E4" i="2"/>
  <c r="D4" i="2"/>
</calcChain>
</file>

<file path=xl/sharedStrings.xml><?xml version="1.0" encoding="utf-8"?>
<sst xmlns="http://schemas.openxmlformats.org/spreadsheetml/2006/main" count="163" uniqueCount="118">
  <si>
    <t>NE_x</t>
  </si>
  <si>
    <t>NW_x</t>
  </si>
  <si>
    <t>SE_x</t>
  </si>
  <si>
    <t>SW_x</t>
  </si>
  <si>
    <t>F_y</t>
  </si>
  <si>
    <t>N_y</t>
  </si>
  <si>
    <t>S_y</t>
  </si>
  <si>
    <t>E_y</t>
  </si>
  <si>
    <t>W_y</t>
  </si>
  <si>
    <t>NE_y</t>
  </si>
  <si>
    <t>NW_y</t>
  </si>
  <si>
    <t>SE_y</t>
  </si>
  <si>
    <t>SW_y</t>
  </si>
  <si>
    <t>NG_List</t>
  </si>
  <si>
    <t>N</t>
  </si>
  <si>
    <t>S</t>
  </si>
  <si>
    <t>E</t>
  </si>
  <si>
    <t>W</t>
  </si>
  <si>
    <t>NE</t>
  </si>
  <si>
    <t>NW</t>
  </si>
  <si>
    <t>SE</t>
  </si>
  <si>
    <t>SW</t>
  </si>
  <si>
    <t>＊ファイル/オプション/保存/ファイルの保存形式を"Excelブック（*.xlsx）"にして、Excelを再起動してから使用してください。</t>
    <rPh sb="12" eb="14">
      <t>ホゾン</t>
    </rPh>
    <rPh sb="20" eb="22">
      <t>ホゾン</t>
    </rPh>
    <rPh sb="22" eb="24">
      <t>ケイシキ</t>
    </rPh>
    <rPh sb="53" eb="56">
      <t>サイキドウ</t>
    </rPh>
    <rPh sb="60" eb="62">
      <t>シヨウ</t>
    </rPh>
    <phoneticPr fontId="2"/>
  </si>
  <si>
    <t>次に↑でできた.xlsxを↓で処理する</t>
    <rPh sb="0" eb="1">
      <t>ツギ</t>
    </rPh>
    <rPh sb="15" eb="17">
      <t>ショリ</t>
    </rPh>
    <phoneticPr fontId="2"/>
  </si>
  <si>
    <t>最初に↓を実施して、result-csvを処理する</t>
    <rPh sb="0" eb="2">
      <t>サイショ</t>
    </rPh>
    <rPh sb="5" eb="7">
      <t>ジッシ</t>
    </rPh>
    <rPh sb="21" eb="23">
      <t>ショリ</t>
    </rPh>
    <phoneticPr fontId="2"/>
  </si>
  <si>
    <t>＊バージョン情報</t>
    <rPh sb="6" eb="8">
      <t>ジョウホウ</t>
    </rPh>
    <phoneticPr fontId="2"/>
  </si>
  <si>
    <t>v00</t>
    <phoneticPr fontId="2"/>
  </si>
  <si>
    <t>暫定リリース</t>
    <rPh sb="0" eb="2">
      <t>ザンテイ</t>
    </rPh>
    <phoneticPr fontId="2"/>
  </si>
  <si>
    <t>v01</t>
    <phoneticPr fontId="2"/>
  </si>
  <si>
    <t>17方向計測データ処理時にプレディフレクション解析を追加</t>
    <rPh sb="2" eb="4">
      <t>ホウコウ</t>
    </rPh>
    <rPh sb="4" eb="6">
      <t>ケイソク</t>
    </rPh>
    <rPh sb="9" eb="11">
      <t>ショリ</t>
    </rPh>
    <rPh sb="11" eb="12">
      <t>ジ</t>
    </rPh>
    <rPh sb="23" eb="25">
      <t>カイセキ</t>
    </rPh>
    <rPh sb="26" eb="28">
      <t>ツイカ</t>
    </rPh>
    <phoneticPr fontId="2"/>
  </si>
  <si>
    <t>NG判定アルゴリズム改良</t>
    <rPh sb="2" eb="4">
      <t>ハンテイ</t>
    </rPh>
    <rPh sb="10" eb="12">
      <t>カイリョウ</t>
    </rPh>
    <phoneticPr fontId="2"/>
  </si>
  <si>
    <t>v02</t>
    <phoneticPr fontId="2"/>
  </si>
  <si>
    <t>瞳内固着判定アルゴリズム変更</t>
    <rPh sb="0" eb="1">
      <t>ヒトミ</t>
    </rPh>
    <rPh sb="1" eb="2">
      <t>ナイ</t>
    </rPh>
    <rPh sb="2" eb="4">
      <t>コチャク</t>
    </rPh>
    <rPh sb="4" eb="6">
      <t>ハンテイ</t>
    </rPh>
    <rPh sb="12" eb="14">
      <t>ヘンコウ</t>
    </rPh>
    <phoneticPr fontId="2"/>
  </si>
  <si>
    <t>v03</t>
    <phoneticPr fontId="2"/>
  </si>
  <si>
    <t>ヒストグラムのグラフ描画を追加</t>
    <rPh sb="10" eb="12">
      <t>ビョウガ</t>
    </rPh>
    <rPh sb="13" eb="15">
      <t>ツイカ</t>
    </rPh>
    <phoneticPr fontId="2"/>
  </si>
  <si>
    <t>v04</t>
    <phoneticPr fontId="2"/>
  </si>
  <si>
    <t>瞳外固着が3.5°～で計測されてしまう場合に対処</t>
    <rPh sb="0" eb="1">
      <t>ヒトミ</t>
    </rPh>
    <rPh sb="1" eb="2">
      <t>ガイ</t>
    </rPh>
    <rPh sb="2" eb="4">
      <t>コチャク</t>
    </rPh>
    <rPh sb="11" eb="13">
      <t>ケイソク</t>
    </rPh>
    <rPh sb="19" eb="21">
      <t>バアイ</t>
    </rPh>
    <rPh sb="22" eb="24">
      <t>タイショ</t>
    </rPh>
    <phoneticPr fontId="2"/>
  </si>
  <si>
    <t>v05</t>
    <phoneticPr fontId="2"/>
  </si>
  <si>
    <t>Reverseモードでプレディフレクション解析がエラーになる問題に対処</t>
    <rPh sb="21" eb="23">
      <t>カイセキ</t>
    </rPh>
    <rPh sb="30" eb="32">
      <t>モンダイ</t>
    </rPh>
    <rPh sb="33" eb="35">
      <t>タイショ</t>
    </rPh>
    <phoneticPr fontId="2"/>
  </si>
  <si>
    <t>NGリストにマクロバージョンの記載を追加</t>
    <rPh sb="15" eb="17">
      <t>キサイ</t>
    </rPh>
    <rPh sb="18" eb="20">
      <t>ツイカ</t>
    </rPh>
    <phoneticPr fontId="2"/>
  </si>
  <si>
    <t>v06</t>
    <phoneticPr fontId="2"/>
  </si>
  <si>
    <t>"ResultCSVデータ処理"でセーブをキャンセルした際にブックを閉じない設定に変更</t>
    <rPh sb="13" eb="15">
      <t>ショリ</t>
    </rPh>
    <rPh sb="28" eb="29">
      <t>サイ</t>
    </rPh>
    <rPh sb="34" eb="35">
      <t>ト</t>
    </rPh>
    <rPh sb="38" eb="40">
      <t>セッテイ</t>
    </rPh>
    <rPh sb="41" eb="43">
      <t>ヘンコウ</t>
    </rPh>
    <phoneticPr fontId="2"/>
  </si>
  <si>
    <t>プレディフレクション解析の表示を平均、3σに変更</t>
    <rPh sb="10" eb="12">
      <t>カイセキ</t>
    </rPh>
    <rPh sb="13" eb="15">
      <t>ヒョウジ</t>
    </rPh>
    <rPh sb="16" eb="18">
      <t>ヘイキン</t>
    </rPh>
    <rPh sb="22" eb="24">
      <t>ヘンコウ</t>
    </rPh>
    <phoneticPr fontId="2"/>
  </si>
  <si>
    <t>プレディフレクション解析を中立点（全方位チルト平均）基準に変更</t>
    <rPh sb="10" eb="12">
      <t>カイセキ</t>
    </rPh>
    <rPh sb="13" eb="15">
      <t>チュウリツ</t>
    </rPh>
    <rPh sb="15" eb="16">
      <t>テン</t>
    </rPh>
    <rPh sb="17" eb="20">
      <t>ゼンホウイ</t>
    </rPh>
    <rPh sb="23" eb="25">
      <t>ヘイキン</t>
    </rPh>
    <rPh sb="26" eb="28">
      <t>キジュン</t>
    </rPh>
    <rPh sb="29" eb="31">
      <t>ヘンコウ</t>
    </rPh>
    <phoneticPr fontId="2"/>
  </si>
  <si>
    <t>v07</t>
    <phoneticPr fontId="2"/>
  </si>
  <si>
    <t>ヒストグラム解析の3σ解析をR⇒X,Yに変更</t>
    <rPh sb="6" eb="8">
      <t>カイセキ</t>
    </rPh>
    <rPh sb="11" eb="13">
      <t>カイセキ</t>
    </rPh>
    <rPh sb="20" eb="22">
      <t>ヘンコウ</t>
    </rPh>
    <phoneticPr fontId="2"/>
  </si>
  <si>
    <t>v08</t>
    <phoneticPr fontId="2"/>
  </si>
  <si>
    <t>4方位合計</t>
    <rPh sb="1" eb="3">
      <t>ホウイ</t>
    </rPh>
    <rPh sb="3" eb="5">
      <t>ゴウケイ</t>
    </rPh>
    <rPh sb="4" eb="5">
      <t>ケイ</t>
    </rPh>
    <phoneticPr fontId="2"/>
  </si>
  <si>
    <t>各方位</t>
    <rPh sb="0" eb="3">
      <t>カクホウイ</t>
    </rPh>
    <phoneticPr fontId="2"/>
  </si>
  <si>
    <t>判定値を変数で管理し、表紙上で変更可能とした</t>
    <rPh sb="0" eb="2">
      <t>ハンテイ</t>
    </rPh>
    <rPh sb="2" eb="3">
      <t>チ</t>
    </rPh>
    <rPh sb="4" eb="6">
      <t>ヘンスウ</t>
    </rPh>
    <rPh sb="7" eb="9">
      <t>カンリ</t>
    </rPh>
    <rPh sb="11" eb="13">
      <t>ヒョウシ</t>
    </rPh>
    <rPh sb="13" eb="14">
      <t>ジョウ</t>
    </rPh>
    <rPh sb="15" eb="17">
      <t>ヘンコウ</t>
    </rPh>
    <rPh sb="17" eb="19">
      <t>カノウ</t>
    </rPh>
    <phoneticPr fontId="2"/>
  </si>
  <si>
    <t>F方向時</t>
    <rPh sb="1" eb="3">
      <t>ホウコウ</t>
    </rPh>
    <rPh sb="3" eb="4">
      <t>ジ</t>
    </rPh>
    <phoneticPr fontId="2"/>
  </si>
  <si>
    <t>v07.2</t>
    <phoneticPr fontId="2"/>
  </si>
  <si>
    <t>Win7+excel2010で途中停止トラブルについてシステム本部に改修して頂いた</t>
    <rPh sb="15" eb="17">
      <t>トチュウ</t>
    </rPh>
    <rPh sb="17" eb="19">
      <t>テイシ</t>
    </rPh>
    <rPh sb="31" eb="33">
      <t>ホンブ</t>
    </rPh>
    <rPh sb="34" eb="36">
      <t>カイシュウ</t>
    </rPh>
    <rPh sb="38" eb="39">
      <t>イタダ</t>
    </rPh>
    <phoneticPr fontId="2"/>
  </si>
  <si>
    <t>判定値</t>
    <rPh sb="0" eb="2">
      <t>ハンテイ</t>
    </rPh>
    <rPh sb="2" eb="3">
      <t>チ</t>
    </rPh>
    <phoneticPr fontId="2"/>
  </si>
  <si>
    <t>v08.1</t>
    <phoneticPr fontId="2"/>
  </si>
  <si>
    <t>ヒストグラムのデータ範囲を0～5.5°まで拡大した</t>
    <rPh sb="10" eb="12">
      <t>ハンイ</t>
    </rPh>
    <rPh sb="21" eb="23">
      <t>カクダイ</t>
    </rPh>
    <phoneticPr fontId="2"/>
  </si>
  <si>
    <t>v09</t>
    <phoneticPr fontId="2"/>
  </si>
  <si>
    <t>0.75xズームに対応</t>
    <rPh sb="9" eb="11">
      <t>タイオウ</t>
    </rPh>
    <phoneticPr fontId="2"/>
  </si>
  <si>
    <t>v10</t>
    <phoneticPr fontId="2"/>
  </si>
  <si>
    <t>高速化</t>
    <rPh sb="0" eb="3">
      <t>コウソクカ</t>
    </rPh>
    <phoneticPr fontId="2"/>
  </si>
  <si>
    <t>0.75x 各視野起点座標</t>
    <rPh sb="6" eb="7">
      <t>カク</t>
    </rPh>
    <rPh sb="7" eb="9">
      <t>シヤ</t>
    </rPh>
    <rPh sb="9" eb="11">
      <t>キテン</t>
    </rPh>
    <rPh sb="11" eb="13">
      <t>ザヒョウ</t>
    </rPh>
    <phoneticPr fontId="2"/>
  </si>
  <si>
    <t>1.00x 各視野起点座標</t>
    <rPh sb="6" eb="7">
      <t>カク</t>
    </rPh>
    <rPh sb="7" eb="9">
      <t>シヤ</t>
    </rPh>
    <rPh sb="9" eb="11">
      <t>キテン</t>
    </rPh>
    <rPh sb="11" eb="13">
      <t>ザヒョウ</t>
    </rPh>
    <phoneticPr fontId="2"/>
  </si>
  <si>
    <t>v10.1</t>
    <phoneticPr fontId="2"/>
  </si>
  <si>
    <t>Full_plus2</t>
    <phoneticPr fontId="2"/>
  </si>
  <si>
    <t>Sensitivity計測結果（5+1方向）に対応</t>
    <rPh sb="11" eb="13">
      <t>ケイソク</t>
    </rPh>
    <rPh sb="13" eb="15">
      <t>ケッカ</t>
    </rPh>
    <rPh sb="19" eb="21">
      <t>ホウコウ</t>
    </rPh>
    <rPh sb="23" eb="25">
      <t>タイオウ</t>
    </rPh>
    <phoneticPr fontId="2"/>
  </si>
  <si>
    <t>N</t>
    <phoneticPr fontId="2"/>
  </si>
  <si>
    <t>F_x</t>
    <phoneticPr fontId="2"/>
  </si>
  <si>
    <t>N_x</t>
    <phoneticPr fontId="2"/>
  </si>
  <si>
    <t>プレディフレクション</t>
    <phoneticPr fontId="2"/>
  </si>
  <si>
    <t>S</t>
    <phoneticPr fontId="2"/>
  </si>
  <si>
    <t>S_x</t>
    <phoneticPr fontId="2"/>
  </si>
  <si>
    <t>Ave.</t>
    <phoneticPr fontId="2"/>
  </si>
  <si>
    <t>Ave.+3σ</t>
    <phoneticPr fontId="2"/>
  </si>
  <si>
    <t>Fld</t>
    <phoneticPr fontId="2"/>
  </si>
  <si>
    <t>X</t>
    <phoneticPr fontId="2"/>
  </si>
  <si>
    <t>Y</t>
    <phoneticPr fontId="2"/>
  </si>
  <si>
    <t>E</t>
    <phoneticPr fontId="2"/>
  </si>
  <si>
    <t>E_x</t>
    <phoneticPr fontId="2"/>
  </si>
  <si>
    <t>3σ</t>
    <phoneticPr fontId="2"/>
  </si>
  <si>
    <t>W</t>
    <phoneticPr fontId="2"/>
  </si>
  <si>
    <t>W_x</t>
    <phoneticPr fontId="2"/>
  </si>
  <si>
    <t>NE</t>
    <phoneticPr fontId="2"/>
  </si>
  <si>
    <t>Range</t>
    <phoneticPr fontId="2"/>
  </si>
  <si>
    <t>Number</t>
    <phoneticPr fontId="2"/>
  </si>
  <si>
    <t>NW</t>
    <phoneticPr fontId="2"/>
  </si>
  <si>
    <t>SE</t>
    <phoneticPr fontId="2"/>
  </si>
  <si>
    <t>NG_Analyze</t>
    <phoneticPr fontId="2"/>
  </si>
  <si>
    <t>ﾃﾞﾌｫﾙﾄ(deg)</t>
    <phoneticPr fontId="2"/>
  </si>
  <si>
    <t>SW</t>
    <phoneticPr fontId="2"/>
  </si>
  <si>
    <t>NG</t>
    <phoneticPr fontId="2"/>
  </si>
  <si>
    <t>&gt;</t>
    <phoneticPr fontId="2"/>
  </si>
  <si>
    <t>&lt;</t>
    <phoneticPr fontId="2"/>
  </si>
  <si>
    <t>Full_plus4</t>
    <phoneticPr fontId="2"/>
  </si>
  <si>
    <t>NGマップ出力</t>
    <rPh sb="5" eb="7">
      <t>シュツリョク</t>
    </rPh>
    <phoneticPr fontId="2"/>
  </si>
  <si>
    <t>Full_plus5</t>
    <phoneticPr fontId="2"/>
  </si>
  <si>
    <t>NGマップのフォーマットを0/1逆転（0がNG、1が正常）</t>
    <rPh sb="16" eb="18">
      <t>ギャクテン</t>
    </rPh>
    <rPh sb="26" eb="28">
      <t>セイジョウ</t>
    </rPh>
    <phoneticPr fontId="2"/>
  </si>
  <si>
    <t>NGフィルタをかけてからヒストグラム作成モードを追加</t>
    <rPh sb="18" eb="20">
      <t>サクセイ</t>
    </rPh>
    <rPh sb="24" eb="26">
      <t>ツイカ</t>
    </rPh>
    <phoneticPr fontId="2"/>
  </si>
  <si>
    <t>各ミラー補正計測データcsv整理マクロv10_full_plus6</t>
    <rPh sb="0" eb="1">
      <t>カク</t>
    </rPh>
    <rPh sb="4" eb="6">
      <t>ホセイ</t>
    </rPh>
    <rPh sb="6" eb="8">
      <t>ケイソク</t>
    </rPh>
    <rPh sb="14" eb="16">
      <t>セイリ</t>
    </rPh>
    <phoneticPr fontId="2"/>
  </si>
  <si>
    <t>横範囲</t>
    <rPh sb="0" eb="1">
      <t>ヨコ</t>
    </rPh>
    <rPh sb="1" eb="3">
      <t>ハンイ</t>
    </rPh>
    <phoneticPr fontId="2"/>
  </si>
  <si>
    <t>縦範囲</t>
    <rPh sb="0" eb="1">
      <t>タテ</t>
    </rPh>
    <rPh sb="1" eb="3">
      <t>ハンイ</t>
    </rPh>
    <phoneticPr fontId="2"/>
  </si>
  <si>
    <t>範囲</t>
    <rPh sb="0" eb="2">
      <t>ハンイ</t>
    </rPh>
    <phoneticPr fontId="2"/>
  </si>
  <si>
    <t>OSCAL（ON:1, OFF:0）</t>
    <phoneticPr fontId="2"/>
  </si>
  <si>
    <t>Full_plus6</t>
    <phoneticPr fontId="2"/>
  </si>
  <si>
    <t>範囲を指定してNG分析をする機能を追加</t>
    <rPh sb="0" eb="2">
      <t>ハンイ</t>
    </rPh>
    <rPh sb="3" eb="5">
      <t>シテイ</t>
    </rPh>
    <rPh sb="9" eb="11">
      <t>ブンセキ</t>
    </rPh>
    <rPh sb="14" eb="16">
      <t>キノウ</t>
    </rPh>
    <rPh sb="17" eb="19">
      <t>ツイカ</t>
    </rPh>
    <phoneticPr fontId="2"/>
  </si>
  <si>
    <t>NG分析のみの場合OSCALにも対応</t>
    <rPh sb="2" eb="4">
      <t>ブンセキ</t>
    </rPh>
    <rPh sb="7" eb="9">
      <t>バアイ</t>
    </rPh>
    <rPh sb="16" eb="18">
      <t>タイオウ</t>
    </rPh>
    <phoneticPr fontId="2"/>
  </si>
  <si>
    <t>　標準抜出範囲： 432x282</t>
    <rPh sb="1" eb="3">
      <t>ヒョウジュン</t>
    </rPh>
    <rPh sb="3" eb="5">
      <t>ヌキダシ</t>
    </rPh>
    <rPh sb="5" eb="7">
      <t>ハンイ</t>
    </rPh>
    <phoneticPr fontId="2"/>
  </si>
  <si>
    <t>Full_plus7</t>
  </si>
  <si>
    <t>標準抜出範囲内（432x282）でAve＋99.7%のTilt範囲を算出するモードを追加</t>
    <rPh sb="0" eb="2">
      <t>ヒョウジュン</t>
    </rPh>
    <rPh sb="2" eb="4">
      <t>ヌキダシ</t>
    </rPh>
    <rPh sb="4" eb="6">
      <t>ハンイ</t>
    </rPh>
    <rPh sb="6" eb="7">
      <t>ナイ</t>
    </rPh>
    <rPh sb="31" eb="33">
      <t>ハンイ</t>
    </rPh>
    <rPh sb="34" eb="36">
      <t>サンシュツ</t>
    </rPh>
    <rPh sb="42" eb="44">
      <t>ツイカ</t>
    </rPh>
    <phoneticPr fontId="2"/>
  </si>
  <si>
    <t>N</t>
    <phoneticPr fontId="2"/>
  </si>
  <si>
    <t>S</t>
    <phoneticPr fontId="2"/>
  </si>
  <si>
    <t>E</t>
    <phoneticPr fontId="2"/>
  </si>
  <si>
    <t>W</t>
    <phoneticPr fontId="2"/>
  </si>
  <si>
    <t>符号反転</t>
    <rPh sb="0" eb="2">
      <t>フゴウ</t>
    </rPh>
    <rPh sb="2" eb="4">
      <t>ハンテン</t>
    </rPh>
    <phoneticPr fontId="2"/>
  </si>
  <si>
    <t>Minus</t>
    <phoneticPr fontId="2"/>
  </si>
  <si>
    <t>minus</t>
    <phoneticPr fontId="2"/>
  </si>
  <si>
    <t>範囲</t>
    <rPh sb="0" eb="2">
      <t>ハンイ</t>
    </rPh>
    <phoneticPr fontId="2"/>
  </si>
  <si>
    <t>標準抜出範囲</t>
    <rPh sb="0" eb="2">
      <t>ヒョウジュン</t>
    </rPh>
    <rPh sb="2" eb="4">
      <t>ヌキダシ</t>
    </rPh>
    <rPh sb="4" eb="6">
      <t>ハンイ</t>
    </rPh>
    <phoneticPr fontId="2"/>
  </si>
  <si>
    <t>rateA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</si>
</sst>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"/>
    <numFmt numFmtId="178" formatCode="0.0%"/>
  </numFmts>
  <fonts count="1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Calibri"/>
      <family val="2"/>
      <charset val="128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 tint="0.499984740745262"/>
      <name val="ＭＳ Ｐゴシック"/>
      <family val="2"/>
      <charset val="128"/>
      <scheme val="minor"/>
    </font>
    <font>
      <sz val="11"/>
      <color theme="1" tint="0.499984740745262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4">
    <xf numFmtId="0" fontId="0" fillId="0" borderId="0" xfId="0">
      <alignment vertical="center"/>
    </xf>
    <xf numFmtId="0" fontId="4" fillId="0" borderId="0" xfId="0" applyFont="1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right" vertical="center"/>
    </xf>
    <xf numFmtId="0" fontId="6" fillId="0" borderId="0" xfId="0" applyFont="1" applyFill="1" applyAlignment="1">
      <alignment vertical="center"/>
    </xf>
    <xf numFmtId="0" fontId="6" fillId="0" borderId="0" xfId="0" applyFont="1" applyFill="1">
      <alignment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9" xfId="0" applyFont="1" applyFill="1" applyBorder="1" applyAlignment="1">
      <alignment horizontal="right" vertical="center"/>
    </xf>
    <xf numFmtId="0" fontId="7" fillId="0" borderId="0" xfId="0" applyFont="1" applyFill="1" applyAlignment="1">
      <alignment horizontal="left" vertical="center"/>
    </xf>
    <xf numFmtId="177" fontId="7" fillId="0" borderId="0" xfId="0" applyNumberFormat="1" applyFont="1" applyFill="1">
      <alignment vertical="center"/>
    </xf>
    <xf numFmtId="177" fontId="7" fillId="2" borderId="9" xfId="0" applyNumberFormat="1" applyFont="1" applyFill="1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right"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9" fillId="0" borderId="0" xfId="0" applyFont="1" applyFill="1" applyAlignment="1">
      <alignment horizontal="center" vertical="center"/>
    </xf>
    <xf numFmtId="176" fontId="9" fillId="0" borderId="0" xfId="0" applyNumberFormat="1" applyFont="1" applyFill="1">
      <alignment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>
      <alignment vertical="center"/>
    </xf>
    <xf numFmtId="0" fontId="10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vertical="center" wrapText="1"/>
    </xf>
    <xf numFmtId="0" fontId="11" fillId="0" borderId="0" xfId="0" applyFont="1" applyBorder="1" applyAlignment="1">
      <alignment horizontal="right" vertical="center" wrapText="1"/>
    </xf>
    <xf numFmtId="0" fontId="0" fillId="0" borderId="0" xfId="0" applyAlignment="1">
      <alignment horizontal="left" vertical="center"/>
    </xf>
    <xf numFmtId="0" fontId="1" fillId="0" borderId="0" xfId="1">
      <alignment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>
      <alignment vertical="center"/>
    </xf>
    <xf numFmtId="0" fontId="5" fillId="3" borderId="0" xfId="0" applyFont="1" applyFill="1" applyAlignment="1">
      <alignment horizontal="center" vertical="center"/>
    </xf>
    <xf numFmtId="178" fontId="5" fillId="3" borderId="0" xfId="0" applyNumberFormat="1" applyFont="1" applyFill="1">
      <alignment vertical="center"/>
    </xf>
    <xf numFmtId="0" fontId="5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177" fontId="7" fillId="0" borderId="0" xfId="0" applyNumberFormat="1" applyFont="1" applyFill="1" applyAlignment="1">
      <alignment horizontal="center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裾評価用シート!$D$6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裾評価用シート!$A$7:$A$208</c:f>
              <c:strCache>
                <c:ptCount val="202"/>
                <c:pt idx="0">
                  <c:v>Minus</c:v>
                </c:pt>
                <c:pt idx="1">
                  <c:v>0</c:v>
                </c:pt>
                <c:pt idx="2">
                  <c:v>0-0.02</c:v>
                </c:pt>
                <c:pt idx="3">
                  <c:v>0.02-0.04</c:v>
                </c:pt>
                <c:pt idx="4">
                  <c:v>0.04-0.06</c:v>
                </c:pt>
                <c:pt idx="5">
                  <c:v>0.06-0.08</c:v>
                </c:pt>
                <c:pt idx="6">
                  <c:v>0.08-0.1</c:v>
                </c:pt>
                <c:pt idx="7">
                  <c:v>0.1-0.12</c:v>
                </c:pt>
                <c:pt idx="8">
                  <c:v>0.12-0.14</c:v>
                </c:pt>
                <c:pt idx="9">
                  <c:v>0.14-0.16</c:v>
                </c:pt>
                <c:pt idx="10">
                  <c:v>0.16-0.18</c:v>
                </c:pt>
                <c:pt idx="11">
                  <c:v>0.18-0.2</c:v>
                </c:pt>
                <c:pt idx="12">
                  <c:v>0.2-0.22</c:v>
                </c:pt>
                <c:pt idx="13">
                  <c:v>0.22-0.24</c:v>
                </c:pt>
                <c:pt idx="14">
                  <c:v>0.24-0.26</c:v>
                </c:pt>
                <c:pt idx="15">
                  <c:v>0.26-0.28</c:v>
                </c:pt>
                <c:pt idx="16">
                  <c:v>0.28-0.3</c:v>
                </c:pt>
                <c:pt idx="17">
                  <c:v>0.3-0.32</c:v>
                </c:pt>
                <c:pt idx="18">
                  <c:v>0.32-0.34</c:v>
                </c:pt>
                <c:pt idx="19">
                  <c:v>0.34-0.36</c:v>
                </c:pt>
                <c:pt idx="20">
                  <c:v>0.36-0.38</c:v>
                </c:pt>
                <c:pt idx="21">
                  <c:v>0.38-0.4</c:v>
                </c:pt>
                <c:pt idx="22">
                  <c:v>0.4-0.42</c:v>
                </c:pt>
                <c:pt idx="23">
                  <c:v>0.42-0.44</c:v>
                </c:pt>
                <c:pt idx="24">
                  <c:v>0.44-0.46</c:v>
                </c:pt>
                <c:pt idx="25">
                  <c:v>0.46-0.48</c:v>
                </c:pt>
                <c:pt idx="26">
                  <c:v>0.48-0.5</c:v>
                </c:pt>
                <c:pt idx="27">
                  <c:v>0.5-0.52</c:v>
                </c:pt>
                <c:pt idx="28">
                  <c:v>0.52-0.54</c:v>
                </c:pt>
                <c:pt idx="29">
                  <c:v>0.54-0.56</c:v>
                </c:pt>
                <c:pt idx="30">
                  <c:v>0.56-0.58</c:v>
                </c:pt>
                <c:pt idx="31">
                  <c:v>0.58-0.6</c:v>
                </c:pt>
                <c:pt idx="32">
                  <c:v>0.6-0.62</c:v>
                </c:pt>
                <c:pt idx="33">
                  <c:v>0.62-0.64</c:v>
                </c:pt>
                <c:pt idx="34">
                  <c:v>0.64-0.66</c:v>
                </c:pt>
                <c:pt idx="35">
                  <c:v>0.66-0.68</c:v>
                </c:pt>
                <c:pt idx="36">
                  <c:v>0.68-0.7</c:v>
                </c:pt>
                <c:pt idx="37">
                  <c:v>0.7-0.72</c:v>
                </c:pt>
                <c:pt idx="38">
                  <c:v>0.72-0.74</c:v>
                </c:pt>
                <c:pt idx="39">
                  <c:v>0.74-0.76</c:v>
                </c:pt>
                <c:pt idx="40">
                  <c:v>0.76-0.78</c:v>
                </c:pt>
                <c:pt idx="41">
                  <c:v>0.78-0.8</c:v>
                </c:pt>
                <c:pt idx="42">
                  <c:v>0.8-0.82</c:v>
                </c:pt>
                <c:pt idx="43">
                  <c:v>0.82-0.84</c:v>
                </c:pt>
                <c:pt idx="44">
                  <c:v>0.84-0.86</c:v>
                </c:pt>
                <c:pt idx="45">
                  <c:v>0.86-0.88</c:v>
                </c:pt>
                <c:pt idx="46">
                  <c:v>0.88-0.9</c:v>
                </c:pt>
                <c:pt idx="47">
                  <c:v>0.9-0.92</c:v>
                </c:pt>
                <c:pt idx="48">
                  <c:v>0.92-0.940000000000001</c:v>
                </c:pt>
                <c:pt idx="49">
                  <c:v>0.940000000000001-0.960000000000001</c:v>
                </c:pt>
                <c:pt idx="50">
                  <c:v>0.960000000000001-0.980000000000001</c:v>
                </c:pt>
                <c:pt idx="51">
                  <c:v>0.980000000000001-1</c:v>
                </c:pt>
                <c:pt idx="52">
                  <c:v>1-1.02</c:v>
                </c:pt>
                <c:pt idx="53">
                  <c:v>1.02-1.04</c:v>
                </c:pt>
                <c:pt idx="54">
                  <c:v>1.04-1.06</c:v>
                </c:pt>
                <c:pt idx="55">
                  <c:v>1.06-1.08</c:v>
                </c:pt>
                <c:pt idx="56">
                  <c:v>1.08-1.1</c:v>
                </c:pt>
                <c:pt idx="57">
                  <c:v>1.1-1.12</c:v>
                </c:pt>
                <c:pt idx="58">
                  <c:v>1.12-1.14</c:v>
                </c:pt>
                <c:pt idx="59">
                  <c:v>1.14-1.16</c:v>
                </c:pt>
                <c:pt idx="60">
                  <c:v>1.16-1.18</c:v>
                </c:pt>
                <c:pt idx="61">
                  <c:v>1.18-1.2</c:v>
                </c:pt>
                <c:pt idx="62">
                  <c:v>1.2-1.22</c:v>
                </c:pt>
                <c:pt idx="63">
                  <c:v>1.22-1.24</c:v>
                </c:pt>
                <c:pt idx="64">
                  <c:v>1.24-1.26</c:v>
                </c:pt>
                <c:pt idx="65">
                  <c:v>1.26-1.28</c:v>
                </c:pt>
                <c:pt idx="66">
                  <c:v>1.28-1.3</c:v>
                </c:pt>
                <c:pt idx="67">
                  <c:v>1.3-1.32</c:v>
                </c:pt>
                <c:pt idx="68">
                  <c:v>1.32-1.34</c:v>
                </c:pt>
                <c:pt idx="69">
                  <c:v>1.34-1.36</c:v>
                </c:pt>
                <c:pt idx="70">
                  <c:v>1.36-1.38</c:v>
                </c:pt>
                <c:pt idx="71">
                  <c:v>1.38-1.4</c:v>
                </c:pt>
                <c:pt idx="72">
                  <c:v>1.4-1.42</c:v>
                </c:pt>
                <c:pt idx="73">
                  <c:v>1.42-1.44</c:v>
                </c:pt>
                <c:pt idx="74">
                  <c:v>1.44-1.46</c:v>
                </c:pt>
                <c:pt idx="75">
                  <c:v>1.46-1.48</c:v>
                </c:pt>
                <c:pt idx="76">
                  <c:v>1.48-1.5</c:v>
                </c:pt>
                <c:pt idx="77">
                  <c:v>1.5-1.52</c:v>
                </c:pt>
                <c:pt idx="78">
                  <c:v>1.52-1.54</c:v>
                </c:pt>
                <c:pt idx="79">
                  <c:v>1.54-1.56</c:v>
                </c:pt>
                <c:pt idx="80">
                  <c:v>1.56-1.58</c:v>
                </c:pt>
                <c:pt idx="81">
                  <c:v>1.58-1.6</c:v>
                </c:pt>
                <c:pt idx="82">
                  <c:v>1.6-1.62</c:v>
                </c:pt>
                <c:pt idx="83">
                  <c:v>1.62-1.64</c:v>
                </c:pt>
                <c:pt idx="84">
                  <c:v>1.64-1.66</c:v>
                </c:pt>
                <c:pt idx="85">
                  <c:v>1.66-1.68</c:v>
                </c:pt>
                <c:pt idx="86">
                  <c:v>1.68-1.7</c:v>
                </c:pt>
                <c:pt idx="87">
                  <c:v>1.7-1.72</c:v>
                </c:pt>
                <c:pt idx="88">
                  <c:v>1.72-1.74</c:v>
                </c:pt>
                <c:pt idx="89">
                  <c:v>1.74-1.76</c:v>
                </c:pt>
                <c:pt idx="90">
                  <c:v>1.76-1.78</c:v>
                </c:pt>
                <c:pt idx="91">
                  <c:v>1.78-1.8</c:v>
                </c:pt>
                <c:pt idx="92">
                  <c:v>1.8-1.82</c:v>
                </c:pt>
                <c:pt idx="93">
                  <c:v>1.82-1.84</c:v>
                </c:pt>
                <c:pt idx="94">
                  <c:v>1.84-1.86</c:v>
                </c:pt>
                <c:pt idx="95">
                  <c:v>1.86-1.88</c:v>
                </c:pt>
                <c:pt idx="96">
                  <c:v>1.88-1.9</c:v>
                </c:pt>
                <c:pt idx="97">
                  <c:v>1.9-1.92</c:v>
                </c:pt>
                <c:pt idx="98">
                  <c:v>1.92-1.94</c:v>
                </c:pt>
                <c:pt idx="99">
                  <c:v>1.94-1.96</c:v>
                </c:pt>
                <c:pt idx="100">
                  <c:v>1.96-1.98</c:v>
                </c:pt>
                <c:pt idx="101">
                  <c:v>1.98-2</c:v>
                </c:pt>
                <c:pt idx="102">
                  <c:v>2-2.02</c:v>
                </c:pt>
                <c:pt idx="103">
                  <c:v>2.02-2.04</c:v>
                </c:pt>
                <c:pt idx="104">
                  <c:v>2.04-2.06</c:v>
                </c:pt>
                <c:pt idx="105">
                  <c:v>2.06-2.08</c:v>
                </c:pt>
                <c:pt idx="106">
                  <c:v>2.08-2.1</c:v>
                </c:pt>
                <c:pt idx="107">
                  <c:v>2.1-2.12</c:v>
                </c:pt>
                <c:pt idx="108">
                  <c:v>2.12-2.14</c:v>
                </c:pt>
                <c:pt idx="109">
                  <c:v>2.14-2.16</c:v>
                </c:pt>
                <c:pt idx="110">
                  <c:v>2.16-2.18</c:v>
                </c:pt>
                <c:pt idx="111">
                  <c:v>2.18-2.2</c:v>
                </c:pt>
                <c:pt idx="112">
                  <c:v>2.2-2.22</c:v>
                </c:pt>
                <c:pt idx="113">
                  <c:v>2.22-2.24</c:v>
                </c:pt>
                <c:pt idx="114">
                  <c:v>2.24-2.26</c:v>
                </c:pt>
                <c:pt idx="115">
                  <c:v>2.26-2.28</c:v>
                </c:pt>
                <c:pt idx="116">
                  <c:v>2.28-2.3</c:v>
                </c:pt>
                <c:pt idx="117">
                  <c:v>2.3-2.32</c:v>
                </c:pt>
                <c:pt idx="118">
                  <c:v>2.32-2.34</c:v>
                </c:pt>
                <c:pt idx="119">
                  <c:v>2.34-2.36</c:v>
                </c:pt>
                <c:pt idx="120">
                  <c:v>2.36-2.38</c:v>
                </c:pt>
                <c:pt idx="121">
                  <c:v>2.38-2.4</c:v>
                </c:pt>
                <c:pt idx="122">
                  <c:v>2.4-2.42</c:v>
                </c:pt>
                <c:pt idx="123">
                  <c:v>2.42-2.44</c:v>
                </c:pt>
                <c:pt idx="124">
                  <c:v>2.44-2.46</c:v>
                </c:pt>
                <c:pt idx="125">
                  <c:v>2.46-2.48</c:v>
                </c:pt>
                <c:pt idx="126">
                  <c:v>2.48-2.5</c:v>
                </c:pt>
                <c:pt idx="127">
                  <c:v>2.5-2.52</c:v>
                </c:pt>
                <c:pt idx="128">
                  <c:v>2.52-2.54</c:v>
                </c:pt>
                <c:pt idx="129">
                  <c:v>2.54-2.56</c:v>
                </c:pt>
                <c:pt idx="130">
                  <c:v>2.56-2.58</c:v>
                </c:pt>
                <c:pt idx="131">
                  <c:v>2.58-2.6</c:v>
                </c:pt>
                <c:pt idx="132">
                  <c:v>2.6-2.62</c:v>
                </c:pt>
                <c:pt idx="133">
                  <c:v>2.62-2.64</c:v>
                </c:pt>
                <c:pt idx="134">
                  <c:v>2.64-2.66</c:v>
                </c:pt>
                <c:pt idx="135">
                  <c:v>2.66-2.68</c:v>
                </c:pt>
                <c:pt idx="136">
                  <c:v>2.68-2.7</c:v>
                </c:pt>
                <c:pt idx="137">
                  <c:v>2.7-2.72</c:v>
                </c:pt>
                <c:pt idx="138">
                  <c:v>2.72-2.74</c:v>
                </c:pt>
                <c:pt idx="139">
                  <c:v>2.74-2.76</c:v>
                </c:pt>
                <c:pt idx="140">
                  <c:v>2.76-2.78</c:v>
                </c:pt>
                <c:pt idx="141">
                  <c:v>2.78-2.8</c:v>
                </c:pt>
                <c:pt idx="142">
                  <c:v>2.8-2.82</c:v>
                </c:pt>
                <c:pt idx="143">
                  <c:v>2.82-2.84</c:v>
                </c:pt>
                <c:pt idx="144">
                  <c:v>2.84-2.86</c:v>
                </c:pt>
                <c:pt idx="145">
                  <c:v>2.86-2.88</c:v>
                </c:pt>
                <c:pt idx="146">
                  <c:v>2.88-2.9</c:v>
                </c:pt>
                <c:pt idx="147">
                  <c:v>2.9-2.92</c:v>
                </c:pt>
                <c:pt idx="148">
                  <c:v>2.92-2.94</c:v>
                </c:pt>
                <c:pt idx="149">
                  <c:v>2.94-2.96</c:v>
                </c:pt>
                <c:pt idx="150">
                  <c:v>2.96-2.98</c:v>
                </c:pt>
                <c:pt idx="151">
                  <c:v>2.98-3</c:v>
                </c:pt>
                <c:pt idx="152">
                  <c:v>3-3.02</c:v>
                </c:pt>
                <c:pt idx="153">
                  <c:v>3.02-3.04</c:v>
                </c:pt>
                <c:pt idx="154">
                  <c:v>3.04-3.06</c:v>
                </c:pt>
                <c:pt idx="155">
                  <c:v>3.06-3.08</c:v>
                </c:pt>
                <c:pt idx="156">
                  <c:v>3.08-3.1</c:v>
                </c:pt>
                <c:pt idx="157">
                  <c:v>3.1-3.12</c:v>
                </c:pt>
                <c:pt idx="158">
                  <c:v>3.12-3.14</c:v>
                </c:pt>
                <c:pt idx="159">
                  <c:v>3.14-3.16</c:v>
                </c:pt>
                <c:pt idx="160">
                  <c:v>3.16-3.18</c:v>
                </c:pt>
                <c:pt idx="161">
                  <c:v>3.18-3.2</c:v>
                </c:pt>
                <c:pt idx="162">
                  <c:v>3.2-3.22</c:v>
                </c:pt>
                <c:pt idx="163">
                  <c:v>3.22-3.24</c:v>
                </c:pt>
                <c:pt idx="164">
                  <c:v>3.24-3.26</c:v>
                </c:pt>
                <c:pt idx="165">
                  <c:v>3.26-3.28</c:v>
                </c:pt>
                <c:pt idx="166">
                  <c:v>3.28-3.3</c:v>
                </c:pt>
                <c:pt idx="167">
                  <c:v>3.3-3.32</c:v>
                </c:pt>
                <c:pt idx="168">
                  <c:v>3.32-3.34</c:v>
                </c:pt>
                <c:pt idx="169">
                  <c:v>3.34-3.36</c:v>
                </c:pt>
                <c:pt idx="170">
                  <c:v>3.36-3.38</c:v>
                </c:pt>
                <c:pt idx="171">
                  <c:v>3.38-3.4</c:v>
                </c:pt>
                <c:pt idx="172">
                  <c:v>3.4-3.42</c:v>
                </c:pt>
                <c:pt idx="173">
                  <c:v>3.42-3.44</c:v>
                </c:pt>
                <c:pt idx="174">
                  <c:v>3.44-3.46</c:v>
                </c:pt>
                <c:pt idx="175">
                  <c:v>3.46-3.48</c:v>
                </c:pt>
                <c:pt idx="176">
                  <c:v>3.48-3.5</c:v>
                </c:pt>
                <c:pt idx="177">
                  <c:v>3.5-3.52</c:v>
                </c:pt>
                <c:pt idx="178">
                  <c:v>3.52-3.54</c:v>
                </c:pt>
                <c:pt idx="179">
                  <c:v>3.54-3.56</c:v>
                </c:pt>
                <c:pt idx="180">
                  <c:v>3.56-3.58</c:v>
                </c:pt>
                <c:pt idx="181">
                  <c:v>3.58-3.6</c:v>
                </c:pt>
                <c:pt idx="182">
                  <c:v>3.6-3.62</c:v>
                </c:pt>
                <c:pt idx="183">
                  <c:v>3.62-3.64</c:v>
                </c:pt>
                <c:pt idx="184">
                  <c:v>3.64-3.66</c:v>
                </c:pt>
                <c:pt idx="185">
                  <c:v>3.66-3.68</c:v>
                </c:pt>
                <c:pt idx="186">
                  <c:v>3.68-3.7</c:v>
                </c:pt>
                <c:pt idx="187">
                  <c:v>3.7-3.72</c:v>
                </c:pt>
                <c:pt idx="188">
                  <c:v>3.72-3.74</c:v>
                </c:pt>
                <c:pt idx="189">
                  <c:v>3.74-3.76</c:v>
                </c:pt>
                <c:pt idx="190">
                  <c:v>3.76-3.78</c:v>
                </c:pt>
                <c:pt idx="191">
                  <c:v>3.78-3.8</c:v>
                </c:pt>
                <c:pt idx="192">
                  <c:v>3.8-3.82</c:v>
                </c:pt>
                <c:pt idx="193">
                  <c:v>3.82-3.84</c:v>
                </c:pt>
                <c:pt idx="194">
                  <c:v>3.84-3.86</c:v>
                </c:pt>
                <c:pt idx="195">
                  <c:v>3.86-3.88</c:v>
                </c:pt>
                <c:pt idx="196">
                  <c:v>3.88-3.9</c:v>
                </c:pt>
                <c:pt idx="197">
                  <c:v>3.9-3.92</c:v>
                </c:pt>
                <c:pt idx="198">
                  <c:v>3.92-3.94</c:v>
                </c:pt>
                <c:pt idx="199">
                  <c:v>3.94-3.96</c:v>
                </c:pt>
                <c:pt idx="200">
                  <c:v>3.96-3.98</c:v>
                </c:pt>
                <c:pt idx="201">
                  <c:v>3.98-4</c:v>
                </c:pt>
              </c:strCache>
            </c:strRef>
          </c:cat>
          <c:val>
            <c:numRef>
              <c:f>裾評価用シート!$D$7:$D$208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CD-4D74-BCA1-2F4163541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031296"/>
        <c:axId val="247032832"/>
      </c:barChart>
      <c:catAx>
        <c:axId val="2470312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7032832"/>
        <c:crosses val="autoZero"/>
        <c:auto val="1"/>
        <c:lblAlgn val="ctr"/>
        <c:lblOffset val="100"/>
        <c:noMultiLvlLbl val="0"/>
      </c:catAx>
      <c:valAx>
        <c:axId val="247032832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7031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裾評価用シート!$G$6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裾評価用シート!$A$7:$A$208</c:f>
              <c:strCache>
                <c:ptCount val="202"/>
                <c:pt idx="0">
                  <c:v>Minus</c:v>
                </c:pt>
                <c:pt idx="1">
                  <c:v>0</c:v>
                </c:pt>
                <c:pt idx="2">
                  <c:v>0-0.02</c:v>
                </c:pt>
                <c:pt idx="3">
                  <c:v>0.02-0.04</c:v>
                </c:pt>
                <c:pt idx="4">
                  <c:v>0.04-0.06</c:v>
                </c:pt>
                <c:pt idx="5">
                  <c:v>0.06-0.08</c:v>
                </c:pt>
                <c:pt idx="6">
                  <c:v>0.08-0.1</c:v>
                </c:pt>
                <c:pt idx="7">
                  <c:v>0.1-0.12</c:v>
                </c:pt>
                <c:pt idx="8">
                  <c:v>0.12-0.14</c:v>
                </c:pt>
                <c:pt idx="9">
                  <c:v>0.14-0.16</c:v>
                </c:pt>
                <c:pt idx="10">
                  <c:v>0.16-0.18</c:v>
                </c:pt>
                <c:pt idx="11">
                  <c:v>0.18-0.2</c:v>
                </c:pt>
                <c:pt idx="12">
                  <c:v>0.2-0.22</c:v>
                </c:pt>
                <c:pt idx="13">
                  <c:v>0.22-0.24</c:v>
                </c:pt>
                <c:pt idx="14">
                  <c:v>0.24-0.26</c:v>
                </c:pt>
                <c:pt idx="15">
                  <c:v>0.26-0.28</c:v>
                </c:pt>
                <c:pt idx="16">
                  <c:v>0.28-0.3</c:v>
                </c:pt>
                <c:pt idx="17">
                  <c:v>0.3-0.32</c:v>
                </c:pt>
                <c:pt idx="18">
                  <c:v>0.32-0.34</c:v>
                </c:pt>
                <c:pt idx="19">
                  <c:v>0.34-0.36</c:v>
                </c:pt>
                <c:pt idx="20">
                  <c:v>0.36-0.38</c:v>
                </c:pt>
                <c:pt idx="21">
                  <c:v>0.38-0.4</c:v>
                </c:pt>
                <c:pt idx="22">
                  <c:v>0.4-0.42</c:v>
                </c:pt>
                <c:pt idx="23">
                  <c:v>0.42-0.44</c:v>
                </c:pt>
                <c:pt idx="24">
                  <c:v>0.44-0.46</c:v>
                </c:pt>
                <c:pt idx="25">
                  <c:v>0.46-0.48</c:v>
                </c:pt>
                <c:pt idx="26">
                  <c:v>0.48-0.5</c:v>
                </c:pt>
                <c:pt idx="27">
                  <c:v>0.5-0.52</c:v>
                </c:pt>
                <c:pt idx="28">
                  <c:v>0.52-0.54</c:v>
                </c:pt>
                <c:pt idx="29">
                  <c:v>0.54-0.56</c:v>
                </c:pt>
                <c:pt idx="30">
                  <c:v>0.56-0.58</c:v>
                </c:pt>
                <c:pt idx="31">
                  <c:v>0.58-0.6</c:v>
                </c:pt>
                <c:pt idx="32">
                  <c:v>0.6-0.62</c:v>
                </c:pt>
                <c:pt idx="33">
                  <c:v>0.62-0.64</c:v>
                </c:pt>
                <c:pt idx="34">
                  <c:v>0.64-0.66</c:v>
                </c:pt>
                <c:pt idx="35">
                  <c:v>0.66-0.68</c:v>
                </c:pt>
                <c:pt idx="36">
                  <c:v>0.68-0.7</c:v>
                </c:pt>
                <c:pt idx="37">
                  <c:v>0.7-0.72</c:v>
                </c:pt>
                <c:pt idx="38">
                  <c:v>0.72-0.74</c:v>
                </c:pt>
                <c:pt idx="39">
                  <c:v>0.74-0.76</c:v>
                </c:pt>
                <c:pt idx="40">
                  <c:v>0.76-0.78</c:v>
                </c:pt>
                <c:pt idx="41">
                  <c:v>0.78-0.8</c:v>
                </c:pt>
                <c:pt idx="42">
                  <c:v>0.8-0.82</c:v>
                </c:pt>
                <c:pt idx="43">
                  <c:v>0.82-0.84</c:v>
                </c:pt>
                <c:pt idx="44">
                  <c:v>0.84-0.86</c:v>
                </c:pt>
                <c:pt idx="45">
                  <c:v>0.86-0.88</c:v>
                </c:pt>
                <c:pt idx="46">
                  <c:v>0.88-0.9</c:v>
                </c:pt>
                <c:pt idx="47">
                  <c:v>0.9-0.92</c:v>
                </c:pt>
                <c:pt idx="48">
                  <c:v>0.92-0.940000000000001</c:v>
                </c:pt>
                <c:pt idx="49">
                  <c:v>0.940000000000001-0.960000000000001</c:v>
                </c:pt>
                <c:pt idx="50">
                  <c:v>0.960000000000001-0.980000000000001</c:v>
                </c:pt>
                <c:pt idx="51">
                  <c:v>0.980000000000001-1</c:v>
                </c:pt>
                <c:pt idx="52">
                  <c:v>1-1.02</c:v>
                </c:pt>
                <c:pt idx="53">
                  <c:v>1.02-1.04</c:v>
                </c:pt>
                <c:pt idx="54">
                  <c:v>1.04-1.06</c:v>
                </c:pt>
                <c:pt idx="55">
                  <c:v>1.06-1.08</c:v>
                </c:pt>
                <c:pt idx="56">
                  <c:v>1.08-1.1</c:v>
                </c:pt>
                <c:pt idx="57">
                  <c:v>1.1-1.12</c:v>
                </c:pt>
                <c:pt idx="58">
                  <c:v>1.12-1.14</c:v>
                </c:pt>
                <c:pt idx="59">
                  <c:v>1.14-1.16</c:v>
                </c:pt>
                <c:pt idx="60">
                  <c:v>1.16-1.18</c:v>
                </c:pt>
                <c:pt idx="61">
                  <c:v>1.18-1.2</c:v>
                </c:pt>
                <c:pt idx="62">
                  <c:v>1.2-1.22</c:v>
                </c:pt>
                <c:pt idx="63">
                  <c:v>1.22-1.24</c:v>
                </c:pt>
                <c:pt idx="64">
                  <c:v>1.24-1.26</c:v>
                </c:pt>
                <c:pt idx="65">
                  <c:v>1.26-1.28</c:v>
                </c:pt>
                <c:pt idx="66">
                  <c:v>1.28-1.3</c:v>
                </c:pt>
                <c:pt idx="67">
                  <c:v>1.3-1.32</c:v>
                </c:pt>
                <c:pt idx="68">
                  <c:v>1.32-1.34</c:v>
                </c:pt>
                <c:pt idx="69">
                  <c:v>1.34-1.36</c:v>
                </c:pt>
                <c:pt idx="70">
                  <c:v>1.36-1.38</c:v>
                </c:pt>
                <c:pt idx="71">
                  <c:v>1.38-1.4</c:v>
                </c:pt>
                <c:pt idx="72">
                  <c:v>1.4-1.42</c:v>
                </c:pt>
                <c:pt idx="73">
                  <c:v>1.42-1.44</c:v>
                </c:pt>
                <c:pt idx="74">
                  <c:v>1.44-1.46</c:v>
                </c:pt>
                <c:pt idx="75">
                  <c:v>1.46-1.48</c:v>
                </c:pt>
                <c:pt idx="76">
                  <c:v>1.48-1.5</c:v>
                </c:pt>
                <c:pt idx="77">
                  <c:v>1.5-1.52</c:v>
                </c:pt>
                <c:pt idx="78">
                  <c:v>1.52-1.54</c:v>
                </c:pt>
                <c:pt idx="79">
                  <c:v>1.54-1.56</c:v>
                </c:pt>
                <c:pt idx="80">
                  <c:v>1.56-1.58</c:v>
                </c:pt>
                <c:pt idx="81">
                  <c:v>1.58-1.6</c:v>
                </c:pt>
                <c:pt idx="82">
                  <c:v>1.6-1.62</c:v>
                </c:pt>
                <c:pt idx="83">
                  <c:v>1.62-1.64</c:v>
                </c:pt>
                <c:pt idx="84">
                  <c:v>1.64-1.66</c:v>
                </c:pt>
                <c:pt idx="85">
                  <c:v>1.66-1.68</c:v>
                </c:pt>
                <c:pt idx="86">
                  <c:v>1.68-1.7</c:v>
                </c:pt>
                <c:pt idx="87">
                  <c:v>1.7-1.72</c:v>
                </c:pt>
                <c:pt idx="88">
                  <c:v>1.72-1.74</c:v>
                </c:pt>
                <c:pt idx="89">
                  <c:v>1.74-1.76</c:v>
                </c:pt>
                <c:pt idx="90">
                  <c:v>1.76-1.78</c:v>
                </c:pt>
                <c:pt idx="91">
                  <c:v>1.78-1.8</c:v>
                </c:pt>
                <c:pt idx="92">
                  <c:v>1.8-1.82</c:v>
                </c:pt>
                <c:pt idx="93">
                  <c:v>1.82-1.84</c:v>
                </c:pt>
                <c:pt idx="94">
                  <c:v>1.84-1.86</c:v>
                </c:pt>
                <c:pt idx="95">
                  <c:v>1.86-1.88</c:v>
                </c:pt>
                <c:pt idx="96">
                  <c:v>1.88-1.9</c:v>
                </c:pt>
                <c:pt idx="97">
                  <c:v>1.9-1.92</c:v>
                </c:pt>
                <c:pt idx="98">
                  <c:v>1.92-1.94</c:v>
                </c:pt>
                <c:pt idx="99">
                  <c:v>1.94-1.96</c:v>
                </c:pt>
                <c:pt idx="100">
                  <c:v>1.96-1.98</c:v>
                </c:pt>
                <c:pt idx="101">
                  <c:v>1.98-2</c:v>
                </c:pt>
                <c:pt idx="102">
                  <c:v>2-2.02</c:v>
                </c:pt>
                <c:pt idx="103">
                  <c:v>2.02-2.04</c:v>
                </c:pt>
                <c:pt idx="104">
                  <c:v>2.04-2.06</c:v>
                </c:pt>
                <c:pt idx="105">
                  <c:v>2.06-2.08</c:v>
                </c:pt>
                <c:pt idx="106">
                  <c:v>2.08-2.1</c:v>
                </c:pt>
                <c:pt idx="107">
                  <c:v>2.1-2.12</c:v>
                </c:pt>
                <c:pt idx="108">
                  <c:v>2.12-2.14</c:v>
                </c:pt>
                <c:pt idx="109">
                  <c:v>2.14-2.16</c:v>
                </c:pt>
                <c:pt idx="110">
                  <c:v>2.16-2.18</c:v>
                </c:pt>
                <c:pt idx="111">
                  <c:v>2.18-2.2</c:v>
                </c:pt>
                <c:pt idx="112">
                  <c:v>2.2-2.22</c:v>
                </c:pt>
                <c:pt idx="113">
                  <c:v>2.22-2.24</c:v>
                </c:pt>
                <c:pt idx="114">
                  <c:v>2.24-2.26</c:v>
                </c:pt>
                <c:pt idx="115">
                  <c:v>2.26-2.28</c:v>
                </c:pt>
                <c:pt idx="116">
                  <c:v>2.28-2.3</c:v>
                </c:pt>
                <c:pt idx="117">
                  <c:v>2.3-2.32</c:v>
                </c:pt>
                <c:pt idx="118">
                  <c:v>2.32-2.34</c:v>
                </c:pt>
                <c:pt idx="119">
                  <c:v>2.34-2.36</c:v>
                </c:pt>
                <c:pt idx="120">
                  <c:v>2.36-2.38</c:v>
                </c:pt>
                <c:pt idx="121">
                  <c:v>2.38-2.4</c:v>
                </c:pt>
                <c:pt idx="122">
                  <c:v>2.4-2.42</c:v>
                </c:pt>
                <c:pt idx="123">
                  <c:v>2.42-2.44</c:v>
                </c:pt>
                <c:pt idx="124">
                  <c:v>2.44-2.46</c:v>
                </c:pt>
                <c:pt idx="125">
                  <c:v>2.46-2.48</c:v>
                </c:pt>
                <c:pt idx="126">
                  <c:v>2.48-2.5</c:v>
                </c:pt>
                <c:pt idx="127">
                  <c:v>2.5-2.52</c:v>
                </c:pt>
                <c:pt idx="128">
                  <c:v>2.52-2.54</c:v>
                </c:pt>
                <c:pt idx="129">
                  <c:v>2.54-2.56</c:v>
                </c:pt>
                <c:pt idx="130">
                  <c:v>2.56-2.58</c:v>
                </c:pt>
                <c:pt idx="131">
                  <c:v>2.58-2.6</c:v>
                </c:pt>
                <c:pt idx="132">
                  <c:v>2.6-2.62</c:v>
                </c:pt>
                <c:pt idx="133">
                  <c:v>2.62-2.64</c:v>
                </c:pt>
                <c:pt idx="134">
                  <c:v>2.64-2.66</c:v>
                </c:pt>
                <c:pt idx="135">
                  <c:v>2.66-2.68</c:v>
                </c:pt>
                <c:pt idx="136">
                  <c:v>2.68-2.7</c:v>
                </c:pt>
                <c:pt idx="137">
                  <c:v>2.7-2.72</c:v>
                </c:pt>
                <c:pt idx="138">
                  <c:v>2.72-2.74</c:v>
                </c:pt>
                <c:pt idx="139">
                  <c:v>2.74-2.76</c:v>
                </c:pt>
                <c:pt idx="140">
                  <c:v>2.76-2.78</c:v>
                </c:pt>
                <c:pt idx="141">
                  <c:v>2.78-2.8</c:v>
                </c:pt>
                <c:pt idx="142">
                  <c:v>2.8-2.82</c:v>
                </c:pt>
                <c:pt idx="143">
                  <c:v>2.82-2.84</c:v>
                </c:pt>
                <c:pt idx="144">
                  <c:v>2.84-2.86</c:v>
                </c:pt>
                <c:pt idx="145">
                  <c:v>2.86-2.88</c:v>
                </c:pt>
                <c:pt idx="146">
                  <c:v>2.88-2.9</c:v>
                </c:pt>
                <c:pt idx="147">
                  <c:v>2.9-2.92</c:v>
                </c:pt>
                <c:pt idx="148">
                  <c:v>2.92-2.94</c:v>
                </c:pt>
                <c:pt idx="149">
                  <c:v>2.94-2.96</c:v>
                </c:pt>
                <c:pt idx="150">
                  <c:v>2.96-2.98</c:v>
                </c:pt>
                <c:pt idx="151">
                  <c:v>2.98-3</c:v>
                </c:pt>
                <c:pt idx="152">
                  <c:v>3-3.02</c:v>
                </c:pt>
                <c:pt idx="153">
                  <c:v>3.02-3.04</c:v>
                </c:pt>
                <c:pt idx="154">
                  <c:v>3.04-3.06</c:v>
                </c:pt>
                <c:pt idx="155">
                  <c:v>3.06-3.08</c:v>
                </c:pt>
                <c:pt idx="156">
                  <c:v>3.08-3.1</c:v>
                </c:pt>
                <c:pt idx="157">
                  <c:v>3.1-3.12</c:v>
                </c:pt>
                <c:pt idx="158">
                  <c:v>3.12-3.14</c:v>
                </c:pt>
                <c:pt idx="159">
                  <c:v>3.14-3.16</c:v>
                </c:pt>
                <c:pt idx="160">
                  <c:v>3.16-3.18</c:v>
                </c:pt>
                <c:pt idx="161">
                  <c:v>3.18-3.2</c:v>
                </c:pt>
                <c:pt idx="162">
                  <c:v>3.2-3.22</c:v>
                </c:pt>
                <c:pt idx="163">
                  <c:v>3.22-3.24</c:v>
                </c:pt>
                <c:pt idx="164">
                  <c:v>3.24-3.26</c:v>
                </c:pt>
                <c:pt idx="165">
                  <c:v>3.26-3.28</c:v>
                </c:pt>
                <c:pt idx="166">
                  <c:v>3.28-3.3</c:v>
                </c:pt>
                <c:pt idx="167">
                  <c:v>3.3-3.32</c:v>
                </c:pt>
                <c:pt idx="168">
                  <c:v>3.32-3.34</c:v>
                </c:pt>
                <c:pt idx="169">
                  <c:v>3.34-3.36</c:v>
                </c:pt>
                <c:pt idx="170">
                  <c:v>3.36-3.38</c:v>
                </c:pt>
                <c:pt idx="171">
                  <c:v>3.38-3.4</c:v>
                </c:pt>
                <c:pt idx="172">
                  <c:v>3.4-3.42</c:v>
                </c:pt>
                <c:pt idx="173">
                  <c:v>3.42-3.44</c:v>
                </c:pt>
                <c:pt idx="174">
                  <c:v>3.44-3.46</c:v>
                </c:pt>
                <c:pt idx="175">
                  <c:v>3.46-3.48</c:v>
                </c:pt>
                <c:pt idx="176">
                  <c:v>3.48-3.5</c:v>
                </c:pt>
                <c:pt idx="177">
                  <c:v>3.5-3.52</c:v>
                </c:pt>
                <c:pt idx="178">
                  <c:v>3.52-3.54</c:v>
                </c:pt>
                <c:pt idx="179">
                  <c:v>3.54-3.56</c:v>
                </c:pt>
                <c:pt idx="180">
                  <c:v>3.56-3.58</c:v>
                </c:pt>
                <c:pt idx="181">
                  <c:v>3.58-3.6</c:v>
                </c:pt>
                <c:pt idx="182">
                  <c:v>3.6-3.62</c:v>
                </c:pt>
                <c:pt idx="183">
                  <c:v>3.62-3.64</c:v>
                </c:pt>
                <c:pt idx="184">
                  <c:v>3.64-3.66</c:v>
                </c:pt>
                <c:pt idx="185">
                  <c:v>3.66-3.68</c:v>
                </c:pt>
                <c:pt idx="186">
                  <c:v>3.68-3.7</c:v>
                </c:pt>
                <c:pt idx="187">
                  <c:v>3.7-3.72</c:v>
                </c:pt>
                <c:pt idx="188">
                  <c:v>3.72-3.74</c:v>
                </c:pt>
                <c:pt idx="189">
                  <c:v>3.74-3.76</c:v>
                </c:pt>
                <c:pt idx="190">
                  <c:v>3.76-3.78</c:v>
                </c:pt>
                <c:pt idx="191">
                  <c:v>3.78-3.8</c:v>
                </c:pt>
                <c:pt idx="192">
                  <c:v>3.8-3.82</c:v>
                </c:pt>
                <c:pt idx="193">
                  <c:v>3.82-3.84</c:v>
                </c:pt>
                <c:pt idx="194">
                  <c:v>3.84-3.86</c:v>
                </c:pt>
                <c:pt idx="195">
                  <c:v>3.86-3.88</c:v>
                </c:pt>
                <c:pt idx="196">
                  <c:v>3.88-3.9</c:v>
                </c:pt>
                <c:pt idx="197">
                  <c:v>3.9-3.92</c:v>
                </c:pt>
                <c:pt idx="198">
                  <c:v>3.92-3.94</c:v>
                </c:pt>
                <c:pt idx="199">
                  <c:v>3.94-3.96</c:v>
                </c:pt>
                <c:pt idx="200">
                  <c:v>3.96-3.98</c:v>
                </c:pt>
                <c:pt idx="201">
                  <c:v>3.98-4</c:v>
                </c:pt>
              </c:strCache>
            </c:strRef>
          </c:cat>
          <c:val>
            <c:numRef>
              <c:f>裾評価用シート!$G$7:$G$208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7D-4E81-A72B-94FB6A693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061888"/>
        <c:axId val="244982912"/>
      </c:barChart>
      <c:catAx>
        <c:axId val="247061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4982912"/>
        <c:crosses val="autoZero"/>
        <c:auto val="1"/>
        <c:lblAlgn val="ctr"/>
        <c:lblOffset val="100"/>
        <c:noMultiLvlLbl val="0"/>
      </c:catAx>
      <c:valAx>
        <c:axId val="244982912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7061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裾評価用シート!$F$6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裾評価用シート!$A$7:$A$208</c:f>
              <c:strCache>
                <c:ptCount val="202"/>
                <c:pt idx="0">
                  <c:v>Minus</c:v>
                </c:pt>
                <c:pt idx="1">
                  <c:v>0</c:v>
                </c:pt>
                <c:pt idx="2">
                  <c:v>0-0.02</c:v>
                </c:pt>
                <c:pt idx="3">
                  <c:v>0.02-0.04</c:v>
                </c:pt>
                <c:pt idx="4">
                  <c:v>0.04-0.06</c:v>
                </c:pt>
                <c:pt idx="5">
                  <c:v>0.06-0.08</c:v>
                </c:pt>
                <c:pt idx="6">
                  <c:v>0.08-0.1</c:v>
                </c:pt>
                <c:pt idx="7">
                  <c:v>0.1-0.12</c:v>
                </c:pt>
                <c:pt idx="8">
                  <c:v>0.12-0.14</c:v>
                </c:pt>
                <c:pt idx="9">
                  <c:v>0.14-0.16</c:v>
                </c:pt>
                <c:pt idx="10">
                  <c:v>0.16-0.18</c:v>
                </c:pt>
                <c:pt idx="11">
                  <c:v>0.18-0.2</c:v>
                </c:pt>
                <c:pt idx="12">
                  <c:v>0.2-0.22</c:v>
                </c:pt>
                <c:pt idx="13">
                  <c:v>0.22-0.24</c:v>
                </c:pt>
                <c:pt idx="14">
                  <c:v>0.24-0.26</c:v>
                </c:pt>
                <c:pt idx="15">
                  <c:v>0.26-0.28</c:v>
                </c:pt>
                <c:pt idx="16">
                  <c:v>0.28-0.3</c:v>
                </c:pt>
                <c:pt idx="17">
                  <c:v>0.3-0.32</c:v>
                </c:pt>
                <c:pt idx="18">
                  <c:v>0.32-0.34</c:v>
                </c:pt>
                <c:pt idx="19">
                  <c:v>0.34-0.36</c:v>
                </c:pt>
                <c:pt idx="20">
                  <c:v>0.36-0.38</c:v>
                </c:pt>
                <c:pt idx="21">
                  <c:v>0.38-0.4</c:v>
                </c:pt>
                <c:pt idx="22">
                  <c:v>0.4-0.42</c:v>
                </c:pt>
                <c:pt idx="23">
                  <c:v>0.42-0.44</c:v>
                </c:pt>
                <c:pt idx="24">
                  <c:v>0.44-0.46</c:v>
                </c:pt>
                <c:pt idx="25">
                  <c:v>0.46-0.48</c:v>
                </c:pt>
                <c:pt idx="26">
                  <c:v>0.48-0.5</c:v>
                </c:pt>
                <c:pt idx="27">
                  <c:v>0.5-0.52</c:v>
                </c:pt>
                <c:pt idx="28">
                  <c:v>0.52-0.54</c:v>
                </c:pt>
                <c:pt idx="29">
                  <c:v>0.54-0.56</c:v>
                </c:pt>
                <c:pt idx="30">
                  <c:v>0.56-0.58</c:v>
                </c:pt>
                <c:pt idx="31">
                  <c:v>0.58-0.6</c:v>
                </c:pt>
                <c:pt idx="32">
                  <c:v>0.6-0.62</c:v>
                </c:pt>
                <c:pt idx="33">
                  <c:v>0.62-0.64</c:v>
                </c:pt>
                <c:pt idx="34">
                  <c:v>0.64-0.66</c:v>
                </c:pt>
                <c:pt idx="35">
                  <c:v>0.66-0.68</c:v>
                </c:pt>
                <c:pt idx="36">
                  <c:v>0.68-0.7</c:v>
                </c:pt>
                <c:pt idx="37">
                  <c:v>0.7-0.72</c:v>
                </c:pt>
                <c:pt idx="38">
                  <c:v>0.72-0.74</c:v>
                </c:pt>
                <c:pt idx="39">
                  <c:v>0.74-0.76</c:v>
                </c:pt>
                <c:pt idx="40">
                  <c:v>0.76-0.78</c:v>
                </c:pt>
                <c:pt idx="41">
                  <c:v>0.78-0.8</c:v>
                </c:pt>
                <c:pt idx="42">
                  <c:v>0.8-0.82</c:v>
                </c:pt>
                <c:pt idx="43">
                  <c:v>0.82-0.84</c:v>
                </c:pt>
                <c:pt idx="44">
                  <c:v>0.84-0.86</c:v>
                </c:pt>
                <c:pt idx="45">
                  <c:v>0.86-0.88</c:v>
                </c:pt>
                <c:pt idx="46">
                  <c:v>0.88-0.9</c:v>
                </c:pt>
                <c:pt idx="47">
                  <c:v>0.9-0.92</c:v>
                </c:pt>
                <c:pt idx="48">
                  <c:v>0.92-0.940000000000001</c:v>
                </c:pt>
                <c:pt idx="49">
                  <c:v>0.940000000000001-0.960000000000001</c:v>
                </c:pt>
                <c:pt idx="50">
                  <c:v>0.960000000000001-0.980000000000001</c:v>
                </c:pt>
                <c:pt idx="51">
                  <c:v>0.980000000000001-1</c:v>
                </c:pt>
                <c:pt idx="52">
                  <c:v>1-1.02</c:v>
                </c:pt>
                <c:pt idx="53">
                  <c:v>1.02-1.04</c:v>
                </c:pt>
                <c:pt idx="54">
                  <c:v>1.04-1.06</c:v>
                </c:pt>
                <c:pt idx="55">
                  <c:v>1.06-1.08</c:v>
                </c:pt>
                <c:pt idx="56">
                  <c:v>1.08-1.1</c:v>
                </c:pt>
                <c:pt idx="57">
                  <c:v>1.1-1.12</c:v>
                </c:pt>
                <c:pt idx="58">
                  <c:v>1.12-1.14</c:v>
                </c:pt>
                <c:pt idx="59">
                  <c:v>1.14-1.16</c:v>
                </c:pt>
                <c:pt idx="60">
                  <c:v>1.16-1.18</c:v>
                </c:pt>
                <c:pt idx="61">
                  <c:v>1.18-1.2</c:v>
                </c:pt>
                <c:pt idx="62">
                  <c:v>1.2-1.22</c:v>
                </c:pt>
                <c:pt idx="63">
                  <c:v>1.22-1.24</c:v>
                </c:pt>
                <c:pt idx="64">
                  <c:v>1.24-1.26</c:v>
                </c:pt>
                <c:pt idx="65">
                  <c:v>1.26-1.28</c:v>
                </c:pt>
                <c:pt idx="66">
                  <c:v>1.28-1.3</c:v>
                </c:pt>
                <c:pt idx="67">
                  <c:v>1.3-1.32</c:v>
                </c:pt>
                <c:pt idx="68">
                  <c:v>1.32-1.34</c:v>
                </c:pt>
                <c:pt idx="69">
                  <c:v>1.34-1.36</c:v>
                </c:pt>
                <c:pt idx="70">
                  <c:v>1.36-1.38</c:v>
                </c:pt>
                <c:pt idx="71">
                  <c:v>1.38-1.4</c:v>
                </c:pt>
                <c:pt idx="72">
                  <c:v>1.4-1.42</c:v>
                </c:pt>
                <c:pt idx="73">
                  <c:v>1.42-1.44</c:v>
                </c:pt>
                <c:pt idx="74">
                  <c:v>1.44-1.46</c:v>
                </c:pt>
                <c:pt idx="75">
                  <c:v>1.46-1.48</c:v>
                </c:pt>
                <c:pt idx="76">
                  <c:v>1.48-1.5</c:v>
                </c:pt>
                <c:pt idx="77">
                  <c:v>1.5-1.52</c:v>
                </c:pt>
                <c:pt idx="78">
                  <c:v>1.52-1.54</c:v>
                </c:pt>
                <c:pt idx="79">
                  <c:v>1.54-1.56</c:v>
                </c:pt>
                <c:pt idx="80">
                  <c:v>1.56-1.58</c:v>
                </c:pt>
                <c:pt idx="81">
                  <c:v>1.58-1.6</c:v>
                </c:pt>
                <c:pt idx="82">
                  <c:v>1.6-1.62</c:v>
                </c:pt>
                <c:pt idx="83">
                  <c:v>1.62-1.64</c:v>
                </c:pt>
                <c:pt idx="84">
                  <c:v>1.64-1.66</c:v>
                </c:pt>
                <c:pt idx="85">
                  <c:v>1.66-1.68</c:v>
                </c:pt>
                <c:pt idx="86">
                  <c:v>1.68-1.7</c:v>
                </c:pt>
                <c:pt idx="87">
                  <c:v>1.7-1.72</c:v>
                </c:pt>
                <c:pt idx="88">
                  <c:v>1.72-1.74</c:v>
                </c:pt>
                <c:pt idx="89">
                  <c:v>1.74-1.76</c:v>
                </c:pt>
                <c:pt idx="90">
                  <c:v>1.76-1.78</c:v>
                </c:pt>
                <c:pt idx="91">
                  <c:v>1.78-1.8</c:v>
                </c:pt>
                <c:pt idx="92">
                  <c:v>1.8-1.82</c:v>
                </c:pt>
                <c:pt idx="93">
                  <c:v>1.82-1.84</c:v>
                </c:pt>
                <c:pt idx="94">
                  <c:v>1.84-1.86</c:v>
                </c:pt>
                <c:pt idx="95">
                  <c:v>1.86-1.88</c:v>
                </c:pt>
                <c:pt idx="96">
                  <c:v>1.88-1.9</c:v>
                </c:pt>
                <c:pt idx="97">
                  <c:v>1.9-1.92</c:v>
                </c:pt>
                <c:pt idx="98">
                  <c:v>1.92-1.94</c:v>
                </c:pt>
                <c:pt idx="99">
                  <c:v>1.94-1.96</c:v>
                </c:pt>
                <c:pt idx="100">
                  <c:v>1.96-1.98</c:v>
                </c:pt>
                <c:pt idx="101">
                  <c:v>1.98-2</c:v>
                </c:pt>
                <c:pt idx="102">
                  <c:v>2-2.02</c:v>
                </c:pt>
                <c:pt idx="103">
                  <c:v>2.02-2.04</c:v>
                </c:pt>
                <c:pt idx="104">
                  <c:v>2.04-2.06</c:v>
                </c:pt>
                <c:pt idx="105">
                  <c:v>2.06-2.08</c:v>
                </c:pt>
                <c:pt idx="106">
                  <c:v>2.08-2.1</c:v>
                </c:pt>
                <c:pt idx="107">
                  <c:v>2.1-2.12</c:v>
                </c:pt>
                <c:pt idx="108">
                  <c:v>2.12-2.14</c:v>
                </c:pt>
                <c:pt idx="109">
                  <c:v>2.14-2.16</c:v>
                </c:pt>
                <c:pt idx="110">
                  <c:v>2.16-2.18</c:v>
                </c:pt>
                <c:pt idx="111">
                  <c:v>2.18-2.2</c:v>
                </c:pt>
                <c:pt idx="112">
                  <c:v>2.2-2.22</c:v>
                </c:pt>
                <c:pt idx="113">
                  <c:v>2.22-2.24</c:v>
                </c:pt>
                <c:pt idx="114">
                  <c:v>2.24-2.26</c:v>
                </c:pt>
                <c:pt idx="115">
                  <c:v>2.26-2.28</c:v>
                </c:pt>
                <c:pt idx="116">
                  <c:v>2.28-2.3</c:v>
                </c:pt>
                <c:pt idx="117">
                  <c:v>2.3-2.32</c:v>
                </c:pt>
                <c:pt idx="118">
                  <c:v>2.32-2.34</c:v>
                </c:pt>
                <c:pt idx="119">
                  <c:v>2.34-2.36</c:v>
                </c:pt>
                <c:pt idx="120">
                  <c:v>2.36-2.38</c:v>
                </c:pt>
                <c:pt idx="121">
                  <c:v>2.38-2.4</c:v>
                </c:pt>
                <c:pt idx="122">
                  <c:v>2.4-2.42</c:v>
                </c:pt>
                <c:pt idx="123">
                  <c:v>2.42-2.44</c:v>
                </c:pt>
                <c:pt idx="124">
                  <c:v>2.44-2.46</c:v>
                </c:pt>
                <c:pt idx="125">
                  <c:v>2.46-2.48</c:v>
                </c:pt>
                <c:pt idx="126">
                  <c:v>2.48-2.5</c:v>
                </c:pt>
                <c:pt idx="127">
                  <c:v>2.5-2.52</c:v>
                </c:pt>
                <c:pt idx="128">
                  <c:v>2.52-2.54</c:v>
                </c:pt>
                <c:pt idx="129">
                  <c:v>2.54-2.56</c:v>
                </c:pt>
                <c:pt idx="130">
                  <c:v>2.56-2.58</c:v>
                </c:pt>
                <c:pt idx="131">
                  <c:v>2.58-2.6</c:v>
                </c:pt>
                <c:pt idx="132">
                  <c:v>2.6-2.62</c:v>
                </c:pt>
                <c:pt idx="133">
                  <c:v>2.62-2.64</c:v>
                </c:pt>
                <c:pt idx="134">
                  <c:v>2.64-2.66</c:v>
                </c:pt>
                <c:pt idx="135">
                  <c:v>2.66-2.68</c:v>
                </c:pt>
                <c:pt idx="136">
                  <c:v>2.68-2.7</c:v>
                </c:pt>
                <c:pt idx="137">
                  <c:v>2.7-2.72</c:v>
                </c:pt>
                <c:pt idx="138">
                  <c:v>2.72-2.74</c:v>
                </c:pt>
                <c:pt idx="139">
                  <c:v>2.74-2.76</c:v>
                </c:pt>
                <c:pt idx="140">
                  <c:v>2.76-2.78</c:v>
                </c:pt>
                <c:pt idx="141">
                  <c:v>2.78-2.8</c:v>
                </c:pt>
                <c:pt idx="142">
                  <c:v>2.8-2.82</c:v>
                </c:pt>
                <c:pt idx="143">
                  <c:v>2.82-2.84</c:v>
                </c:pt>
                <c:pt idx="144">
                  <c:v>2.84-2.86</c:v>
                </c:pt>
                <c:pt idx="145">
                  <c:v>2.86-2.88</c:v>
                </c:pt>
                <c:pt idx="146">
                  <c:v>2.88-2.9</c:v>
                </c:pt>
                <c:pt idx="147">
                  <c:v>2.9-2.92</c:v>
                </c:pt>
                <c:pt idx="148">
                  <c:v>2.92-2.94</c:v>
                </c:pt>
                <c:pt idx="149">
                  <c:v>2.94-2.96</c:v>
                </c:pt>
                <c:pt idx="150">
                  <c:v>2.96-2.98</c:v>
                </c:pt>
                <c:pt idx="151">
                  <c:v>2.98-3</c:v>
                </c:pt>
                <c:pt idx="152">
                  <c:v>3-3.02</c:v>
                </c:pt>
                <c:pt idx="153">
                  <c:v>3.02-3.04</c:v>
                </c:pt>
                <c:pt idx="154">
                  <c:v>3.04-3.06</c:v>
                </c:pt>
                <c:pt idx="155">
                  <c:v>3.06-3.08</c:v>
                </c:pt>
                <c:pt idx="156">
                  <c:v>3.08-3.1</c:v>
                </c:pt>
                <c:pt idx="157">
                  <c:v>3.1-3.12</c:v>
                </c:pt>
                <c:pt idx="158">
                  <c:v>3.12-3.14</c:v>
                </c:pt>
                <c:pt idx="159">
                  <c:v>3.14-3.16</c:v>
                </c:pt>
                <c:pt idx="160">
                  <c:v>3.16-3.18</c:v>
                </c:pt>
                <c:pt idx="161">
                  <c:v>3.18-3.2</c:v>
                </c:pt>
                <c:pt idx="162">
                  <c:v>3.2-3.22</c:v>
                </c:pt>
                <c:pt idx="163">
                  <c:v>3.22-3.24</c:v>
                </c:pt>
                <c:pt idx="164">
                  <c:v>3.24-3.26</c:v>
                </c:pt>
                <c:pt idx="165">
                  <c:v>3.26-3.28</c:v>
                </c:pt>
                <c:pt idx="166">
                  <c:v>3.28-3.3</c:v>
                </c:pt>
                <c:pt idx="167">
                  <c:v>3.3-3.32</c:v>
                </c:pt>
                <c:pt idx="168">
                  <c:v>3.32-3.34</c:v>
                </c:pt>
                <c:pt idx="169">
                  <c:v>3.34-3.36</c:v>
                </c:pt>
                <c:pt idx="170">
                  <c:v>3.36-3.38</c:v>
                </c:pt>
                <c:pt idx="171">
                  <c:v>3.38-3.4</c:v>
                </c:pt>
                <c:pt idx="172">
                  <c:v>3.4-3.42</c:v>
                </c:pt>
                <c:pt idx="173">
                  <c:v>3.42-3.44</c:v>
                </c:pt>
                <c:pt idx="174">
                  <c:v>3.44-3.46</c:v>
                </c:pt>
                <c:pt idx="175">
                  <c:v>3.46-3.48</c:v>
                </c:pt>
                <c:pt idx="176">
                  <c:v>3.48-3.5</c:v>
                </c:pt>
                <c:pt idx="177">
                  <c:v>3.5-3.52</c:v>
                </c:pt>
                <c:pt idx="178">
                  <c:v>3.52-3.54</c:v>
                </c:pt>
                <c:pt idx="179">
                  <c:v>3.54-3.56</c:v>
                </c:pt>
                <c:pt idx="180">
                  <c:v>3.56-3.58</c:v>
                </c:pt>
                <c:pt idx="181">
                  <c:v>3.58-3.6</c:v>
                </c:pt>
                <c:pt idx="182">
                  <c:v>3.6-3.62</c:v>
                </c:pt>
                <c:pt idx="183">
                  <c:v>3.62-3.64</c:v>
                </c:pt>
                <c:pt idx="184">
                  <c:v>3.64-3.66</c:v>
                </c:pt>
                <c:pt idx="185">
                  <c:v>3.66-3.68</c:v>
                </c:pt>
                <c:pt idx="186">
                  <c:v>3.68-3.7</c:v>
                </c:pt>
                <c:pt idx="187">
                  <c:v>3.7-3.72</c:v>
                </c:pt>
                <c:pt idx="188">
                  <c:v>3.72-3.74</c:v>
                </c:pt>
                <c:pt idx="189">
                  <c:v>3.74-3.76</c:v>
                </c:pt>
                <c:pt idx="190">
                  <c:v>3.76-3.78</c:v>
                </c:pt>
                <c:pt idx="191">
                  <c:v>3.78-3.8</c:v>
                </c:pt>
                <c:pt idx="192">
                  <c:v>3.8-3.82</c:v>
                </c:pt>
                <c:pt idx="193">
                  <c:v>3.82-3.84</c:v>
                </c:pt>
                <c:pt idx="194">
                  <c:v>3.84-3.86</c:v>
                </c:pt>
                <c:pt idx="195">
                  <c:v>3.86-3.88</c:v>
                </c:pt>
                <c:pt idx="196">
                  <c:v>3.88-3.9</c:v>
                </c:pt>
                <c:pt idx="197">
                  <c:v>3.9-3.92</c:v>
                </c:pt>
                <c:pt idx="198">
                  <c:v>3.92-3.94</c:v>
                </c:pt>
                <c:pt idx="199">
                  <c:v>3.94-3.96</c:v>
                </c:pt>
                <c:pt idx="200">
                  <c:v>3.96-3.98</c:v>
                </c:pt>
                <c:pt idx="201">
                  <c:v>3.98-4</c:v>
                </c:pt>
              </c:strCache>
            </c:strRef>
          </c:cat>
          <c:val>
            <c:numRef>
              <c:f>裾評価用シート!$F$7:$F$208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5-4E4D-AF72-43C40B606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997120"/>
        <c:axId val="245019392"/>
      </c:barChart>
      <c:catAx>
        <c:axId val="244997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019392"/>
        <c:crosses val="autoZero"/>
        <c:auto val="1"/>
        <c:lblAlgn val="ctr"/>
        <c:lblOffset val="100"/>
        <c:noMultiLvlLbl val="0"/>
      </c:catAx>
      <c:valAx>
        <c:axId val="245019392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4997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裾評価用シート!$E$6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裾評価用シート!$A$7:$A$208</c:f>
              <c:strCache>
                <c:ptCount val="202"/>
                <c:pt idx="0">
                  <c:v>Minus</c:v>
                </c:pt>
                <c:pt idx="1">
                  <c:v>0</c:v>
                </c:pt>
                <c:pt idx="2">
                  <c:v>0-0.02</c:v>
                </c:pt>
                <c:pt idx="3">
                  <c:v>0.02-0.04</c:v>
                </c:pt>
                <c:pt idx="4">
                  <c:v>0.04-0.06</c:v>
                </c:pt>
                <c:pt idx="5">
                  <c:v>0.06-0.08</c:v>
                </c:pt>
                <c:pt idx="6">
                  <c:v>0.08-0.1</c:v>
                </c:pt>
                <c:pt idx="7">
                  <c:v>0.1-0.12</c:v>
                </c:pt>
                <c:pt idx="8">
                  <c:v>0.12-0.14</c:v>
                </c:pt>
                <c:pt idx="9">
                  <c:v>0.14-0.16</c:v>
                </c:pt>
                <c:pt idx="10">
                  <c:v>0.16-0.18</c:v>
                </c:pt>
                <c:pt idx="11">
                  <c:v>0.18-0.2</c:v>
                </c:pt>
                <c:pt idx="12">
                  <c:v>0.2-0.22</c:v>
                </c:pt>
                <c:pt idx="13">
                  <c:v>0.22-0.24</c:v>
                </c:pt>
                <c:pt idx="14">
                  <c:v>0.24-0.26</c:v>
                </c:pt>
                <c:pt idx="15">
                  <c:v>0.26-0.28</c:v>
                </c:pt>
                <c:pt idx="16">
                  <c:v>0.28-0.3</c:v>
                </c:pt>
                <c:pt idx="17">
                  <c:v>0.3-0.32</c:v>
                </c:pt>
                <c:pt idx="18">
                  <c:v>0.32-0.34</c:v>
                </c:pt>
                <c:pt idx="19">
                  <c:v>0.34-0.36</c:v>
                </c:pt>
                <c:pt idx="20">
                  <c:v>0.36-0.38</c:v>
                </c:pt>
                <c:pt idx="21">
                  <c:v>0.38-0.4</c:v>
                </c:pt>
                <c:pt idx="22">
                  <c:v>0.4-0.42</c:v>
                </c:pt>
                <c:pt idx="23">
                  <c:v>0.42-0.44</c:v>
                </c:pt>
                <c:pt idx="24">
                  <c:v>0.44-0.46</c:v>
                </c:pt>
                <c:pt idx="25">
                  <c:v>0.46-0.48</c:v>
                </c:pt>
                <c:pt idx="26">
                  <c:v>0.48-0.5</c:v>
                </c:pt>
                <c:pt idx="27">
                  <c:v>0.5-0.52</c:v>
                </c:pt>
                <c:pt idx="28">
                  <c:v>0.52-0.54</c:v>
                </c:pt>
                <c:pt idx="29">
                  <c:v>0.54-0.56</c:v>
                </c:pt>
                <c:pt idx="30">
                  <c:v>0.56-0.58</c:v>
                </c:pt>
                <c:pt idx="31">
                  <c:v>0.58-0.6</c:v>
                </c:pt>
                <c:pt idx="32">
                  <c:v>0.6-0.62</c:v>
                </c:pt>
                <c:pt idx="33">
                  <c:v>0.62-0.64</c:v>
                </c:pt>
                <c:pt idx="34">
                  <c:v>0.64-0.66</c:v>
                </c:pt>
                <c:pt idx="35">
                  <c:v>0.66-0.68</c:v>
                </c:pt>
                <c:pt idx="36">
                  <c:v>0.68-0.7</c:v>
                </c:pt>
                <c:pt idx="37">
                  <c:v>0.7-0.72</c:v>
                </c:pt>
                <c:pt idx="38">
                  <c:v>0.72-0.74</c:v>
                </c:pt>
                <c:pt idx="39">
                  <c:v>0.74-0.76</c:v>
                </c:pt>
                <c:pt idx="40">
                  <c:v>0.76-0.78</c:v>
                </c:pt>
                <c:pt idx="41">
                  <c:v>0.78-0.8</c:v>
                </c:pt>
                <c:pt idx="42">
                  <c:v>0.8-0.82</c:v>
                </c:pt>
                <c:pt idx="43">
                  <c:v>0.82-0.84</c:v>
                </c:pt>
                <c:pt idx="44">
                  <c:v>0.84-0.86</c:v>
                </c:pt>
                <c:pt idx="45">
                  <c:v>0.86-0.88</c:v>
                </c:pt>
                <c:pt idx="46">
                  <c:v>0.88-0.9</c:v>
                </c:pt>
                <c:pt idx="47">
                  <c:v>0.9-0.92</c:v>
                </c:pt>
                <c:pt idx="48">
                  <c:v>0.92-0.940000000000001</c:v>
                </c:pt>
                <c:pt idx="49">
                  <c:v>0.940000000000001-0.960000000000001</c:v>
                </c:pt>
                <c:pt idx="50">
                  <c:v>0.960000000000001-0.980000000000001</c:v>
                </c:pt>
                <c:pt idx="51">
                  <c:v>0.980000000000001-1</c:v>
                </c:pt>
                <c:pt idx="52">
                  <c:v>1-1.02</c:v>
                </c:pt>
                <c:pt idx="53">
                  <c:v>1.02-1.04</c:v>
                </c:pt>
                <c:pt idx="54">
                  <c:v>1.04-1.06</c:v>
                </c:pt>
                <c:pt idx="55">
                  <c:v>1.06-1.08</c:v>
                </c:pt>
                <c:pt idx="56">
                  <c:v>1.08-1.1</c:v>
                </c:pt>
                <c:pt idx="57">
                  <c:v>1.1-1.12</c:v>
                </c:pt>
                <c:pt idx="58">
                  <c:v>1.12-1.14</c:v>
                </c:pt>
                <c:pt idx="59">
                  <c:v>1.14-1.16</c:v>
                </c:pt>
                <c:pt idx="60">
                  <c:v>1.16-1.18</c:v>
                </c:pt>
                <c:pt idx="61">
                  <c:v>1.18-1.2</c:v>
                </c:pt>
                <c:pt idx="62">
                  <c:v>1.2-1.22</c:v>
                </c:pt>
                <c:pt idx="63">
                  <c:v>1.22-1.24</c:v>
                </c:pt>
                <c:pt idx="64">
                  <c:v>1.24-1.26</c:v>
                </c:pt>
                <c:pt idx="65">
                  <c:v>1.26-1.28</c:v>
                </c:pt>
                <c:pt idx="66">
                  <c:v>1.28-1.3</c:v>
                </c:pt>
                <c:pt idx="67">
                  <c:v>1.3-1.32</c:v>
                </c:pt>
                <c:pt idx="68">
                  <c:v>1.32-1.34</c:v>
                </c:pt>
                <c:pt idx="69">
                  <c:v>1.34-1.36</c:v>
                </c:pt>
                <c:pt idx="70">
                  <c:v>1.36-1.38</c:v>
                </c:pt>
                <c:pt idx="71">
                  <c:v>1.38-1.4</c:v>
                </c:pt>
                <c:pt idx="72">
                  <c:v>1.4-1.42</c:v>
                </c:pt>
                <c:pt idx="73">
                  <c:v>1.42-1.44</c:v>
                </c:pt>
                <c:pt idx="74">
                  <c:v>1.44-1.46</c:v>
                </c:pt>
                <c:pt idx="75">
                  <c:v>1.46-1.48</c:v>
                </c:pt>
                <c:pt idx="76">
                  <c:v>1.48-1.5</c:v>
                </c:pt>
                <c:pt idx="77">
                  <c:v>1.5-1.52</c:v>
                </c:pt>
                <c:pt idx="78">
                  <c:v>1.52-1.54</c:v>
                </c:pt>
                <c:pt idx="79">
                  <c:v>1.54-1.56</c:v>
                </c:pt>
                <c:pt idx="80">
                  <c:v>1.56-1.58</c:v>
                </c:pt>
                <c:pt idx="81">
                  <c:v>1.58-1.6</c:v>
                </c:pt>
                <c:pt idx="82">
                  <c:v>1.6-1.62</c:v>
                </c:pt>
                <c:pt idx="83">
                  <c:v>1.62-1.64</c:v>
                </c:pt>
                <c:pt idx="84">
                  <c:v>1.64-1.66</c:v>
                </c:pt>
                <c:pt idx="85">
                  <c:v>1.66-1.68</c:v>
                </c:pt>
                <c:pt idx="86">
                  <c:v>1.68-1.7</c:v>
                </c:pt>
                <c:pt idx="87">
                  <c:v>1.7-1.72</c:v>
                </c:pt>
                <c:pt idx="88">
                  <c:v>1.72-1.74</c:v>
                </c:pt>
                <c:pt idx="89">
                  <c:v>1.74-1.76</c:v>
                </c:pt>
                <c:pt idx="90">
                  <c:v>1.76-1.78</c:v>
                </c:pt>
                <c:pt idx="91">
                  <c:v>1.78-1.8</c:v>
                </c:pt>
                <c:pt idx="92">
                  <c:v>1.8-1.82</c:v>
                </c:pt>
                <c:pt idx="93">
                  <c:v>1.82-1.84</c:v>
                </c:pt>
                <c:pt idx="94">
                  <c:v>1.84-1.86</c:v>
                </c:pt>
                <c:pt idx="95">
                  <c:v>1.86-1.88</c:v>
                </c:pt>
                <c:pt idx="96">
                  <c:v>1.88-1.9</c:v>
                </c:pt>
                <c:pt idx="97">
                  <c:v>1.9-1.92</c:v>
                </c:pt>
                <c:pt idx="98">
                  <c:v>1.92-1.94</c:v>
                </c:pt>
                <c:pt idx="99">
                  <c:v>1.94-1.96</c:v>
                </c:pt>
                <c:pt idx="100">
                  <c:v>1.96-1.98</c:v>
                </c:pt>
                <c:pt idx="101">
                  <c:v>1.98-2</c:v>
                </c:pt>
                <c:pt idx="102">
                  <c:v>2-2.02</c:v>
                </c:pt>
                <c:pt idx="103">
                  <c:v>2.02-2.04</c:v>
                </c:pt>
                <c:pt idx="104">
                  <c:v>2.04-2.06</c:v>
                </c:pt>
                <c:pt idx="105">
                  <c:v>2.06-2.08</c:v>
                </c:pt>
                <c:pt idx="106">
                  <c:v>2.08-2.1</c:v>
                </c:pt>
                <c:pt idx="107">
                  <c:v>2.1-2.12</c:v>
                </c:pt>
                <c:pt idx="108">
                  <c:v>2.12-2.14</c:v>
                </c:pt>
                <c:pt idx="109">
                  <c:v>2.14-2.16</c:v>
                </c:pt>
                <c:pt idx="110">
                  <c:v>2.16-2.18</c:v>
                </c:pt>
                <c:pt idx="111">
                  <c:v>2.18-2.2</c:v>
                </c:pt>
                <c:pt idx="112">
                  <c:v>2.2-2.22</c:v>
                </c:pt>
                <c:pt idx="113">
                  <c:v>2.22-2.24</c:v>
                </c:pt>
                <c:pt idx="114">
                  <c:v>2.24-2.26</c:v>
                </c:pt>
                <c:pt idx="115">
                  <c:v>2.26-2.28</c:v>
                </c:pt>
                <c:pt idx="116">
                  <c:v>2.28-2.3</c:v>
                </c:pt>
                <c:pt idx="117">
                  <c:v>2.3-2.32</c:v>
                </c:pt>
                <c:pt idx="118">
                  <c:v>2.32-2.34</c:v>
                </c:pt>
                <c:pt idx="119">
                  <c:v>2.34-2.36</c:v>
                </c:pt>
                <c:pt idx="120">
                  <c:v>2.36-2.38</c:v>
                </c:pt>
                <c:pt idx="121">
                  <c:v>2.38-2.4</c:v>
                </c:pt>
                <c:pt idx="122">
                  <c:v>2.4-2.42</c:v>
                </c:pt>
                <c:pt idx="123">
                  <c:v>2.42-2.44</c:v>
                </c:pt>
                <c:pt idx="124">
                  <c:v>2.44-2.46</c:v>
                </c:pt>
                <c:pt idx="125">
                  <c:v>2.46-2.48</c:v>
                </c:pt>
                <c:pt idx="126">
                  <c:v>2.48-2.5</c:v>
                </c:pt>
                <c:pt idx="127">
                  <c:v>2.5-2.52</c:v>
                </c:pt>
                <c:pt idx="128">
                  <c:v>2.52-2.54</c:v>
                </c:pt>
                <c:pt idx="129">
                  <c:v>2.54-2.56</c:v>
                </c:pt>
                <c:pt idx="130">
                  <c:v>2.56-2.58</c:v>
                </c:pt>
                <c:pt idx="131">
                  <c:v>2.58-2.6</c:v>
                </c:pt>
                <c:pt idx="132">
                  <c:v>2.6-2.62</c:v>
                </c:pt>
                <c:pt idx="133">
                  <c:v>2.62-2.64</c:v>
                </c:pt>
                <c:pt idx="134">
                  <c:v>2.64-2.66</c:v>
                </c:pt>
                <c:pt idx="135">
                  <c:v>2.66-2.68</c:v>
                </c:pt>
                <c:pt idx="136">
                  <c:v>2.68-2.7</c:v>
                </c:pt>
                <c:pt idx="137">
                  <c:v>2.7-2.72</c:v>
                </c:pt>
                <c:pt idx="138">
                  <c:v>2.72-2.74</c:v>
                </c:pt>
                <c:pt idx="139">
                  <c:v>2.74-2.76</c:v>
                </c:pt>
                <c:pt idx="140">
                  <c:v>2.76-2.78</c:v>
                </c:pt>
                <c:pt idx="141">
                  <c:v>2.78-2.8</c:v>
                </c:pt>
                <c:pt idx="142">
                  <c:v>2.8-2.82</c:v>
                </c:pt>
                <c:pt idx="143">
                  <c:v>2.82-2.84</c:v>
                </c:pt>
                <c:pt idx="144">
                  <c:v>2.84-2.86</c:v>
                </c:pt>
                <c:pt idx="145">
                  <c:v>2.86-2.88</c:v>
                </c:pt>
                <c:pt idx="146">
                  <c:v>2.88-2.9</c:v>
                </c:pt>
                <c:pt idx="147">
                  <c:v>2.9-2.92</c:v>
                </c:pt>
                <c:pt idx="148">
                  <c:v>2.92-2.94</c:v>
                </c:pt>
                <c:pt idx="149">
                  <c:v>2.94-2.96</c:v>
                </c:pt>
                <c:pt idx="150">
                  <c:v>2.96-2.98</c:v>
                </c:pt>
                <c:pt idx="151">
                  <c:v>2.98-3</c:v>
                </c:pt>
                <c:pt idx="152">
                  <c:v>3-3.02</c:v>
                </c:pt>
                <c:pt idx="153">
                  <c:v>3.02-3.04</c:v>
                </c:pt>
                <c:pt idx="154">
                  <c:v>3.04-3.06</c:v>
                </c:pt>
                <c:pt idx="155">
                  <c:v>3.06-3.08</c:v>
                </c:pt>
                <c:pt idx="156">
                  <c:v>3.08-3.1</c:v>
                </c:pt>
                <c:pt idx="157">
                  <c:v>3.1-3.12</c:v>
                </c:pt>
                <c:pt idx="158">
                  <c:v>3.12-3.14</c:v>
                </c:pt>
                <c:pt idx="159">
                  <c:v>3.14-3.16</c:v>
                </c:pt>
                <c:pt idx="160">
                  <c:v>3.16-3.18</c:v>
                </c:pt>
                <c:pt idx="161">
                  <c:v>3.18-3.2</c:v>
                </c:pt>
                <c:pt idx="162">
                  <c:v>3.2-3.22</c:v>
                </c:pt>
                <c:pt idx="163">
                  <c:v>3.22-3.24</c:v>
                </c:pt>
                <c:pt idx="164">
                  <c:v>3.24-3.26</c:v>
                </c:pt>
                <c:pt idx="165">
                  <c:v>3.26-3.28</c:v>
                </c:pt>
                <c:pt idx="166">
                  <c:v>3.28-3.3</c:v>
                </c:pt>
                <c:pt idx="167">
                  <c:v>3.3-3.32</c:v>
                </c:pt>
                <c:pt idx="168">
                  <c:v>3.32-3.34</c:v>
                </c:pt>
                <c:pt idx="169">
                  <c:v>3.34-3.36</c:v>
                </c:pt>
                <c:pt idx="170">
                  <c:v>3.36-3.38</c:v>
                </c:pt>
                <c:pt idx="171">
                  <c:v>3.38-3.4</c:v>
                </c:pt>
                <c:pt idx="172">
                  <c:v>3.4-3.42</c:v>
                </c:pt>
                <c:pt idx="173">
                  <c:v>3.42-3.44</c:v>
                </c:pt>
                <c:pt idx="174">
                  <c:v>3.44-3.46</c:v>
                </c:pt>
                <c:pt idx="175">
                  <c:v>3.46-3.48</c:v>
                </c:pt>
                <c:pt idx="176">
                  <c:v>3.48-3.5</c:v>
                </c:pt>
                <c:pt idx="177">
                  <c:v>3.5-3.52</c:v>
                </c:pt>
                <c:pt idx="178">
                  <c:v>3.52-3.54</c:v>
                </c:pt>
                <c:pt idx="179">
                  <c:v>3.54-3.56</c:v>
                </c:pt>
                <c:pt idx="180">
                  <c:v>3.56-3.58</c:v>
                </c:pt>
                <c:pt idx="181">
                  <c:v>3.58-3.6</c:v>
                </c:pt>
                <c:pt idx="182">
                  <c:v>3.6-3.62</c:v>
                </c:pt>
                <c:pt idx="183">
                  <c:v>3.62-3.64</c:v>
                </c:pt>
                <c:pt idx="184">
                  <c:v>3.64-3.66</c:v>
                </c:pt>
                <c:pt idx="185">
                  <c:v>3.66-3.68</c:v>
                </c:pt>
                <c:pt idx="186">
                  <c:v>3.68-3.7</c:v>
                </c:pt>
                <c:pt idx="187">
                  <c:v>3.7-3.72</c:v>
                </c:pt>
                <c:pt idx="188">
                  <c:v>3.72-3.74</c:v>
                </c:pt>
                <c:pt idx="189">
                  <c:v>3.74-3.76</c:v>
                </c:pt>
                <c:pt idx="190">
                  <c:v>3.76-3.78</c:v>
                </c:pt>
                <c:pt idx="191">
                  <c:v>3.78-3.8</c:v>
                </c:pt>
                <c:pt idx="192">
                  <c:v>3.8-3.82</c:v>
                </c:pt>
                <c:pt idx="193">
                  <c:v>3.82-3.84</c:v>
                </c:pt>
                <c:pt idx="194">
                  <c:v>3.84-3.86</c:v>
                </c:pt>
                <c:pt idx="195">
                  <c:v>3.86-3.88</c:v>
                </c:pt>
                <c:pt idx="196">
                  <c:v>3.88-3.9</c:v>
                </c:pt>
                <c:pt idx="197">
                  <c:v>3.9-3.92</c:v>
                </c:pt>
                <c:pt idx="198">
                  <c:v>3.92-3.94</c:v>
                </c:pt>
                <c:pt idx="199">
                  <c:v>3.94-3.96</c:v>
                </c:pt>
                <c:pt idx="200">
                  <c:v>3.96-3.98</c:v>
                </c:pt>
                <c:pt idx="201">
                  <c:v>3.98-4</c:v>
                </c:pt>
              </c:strCache>
            </c:strRef>
          </c:cat>
          <c:val>
            <c:numRef>
              <c:f>裾評価用シート!$E$7:$E$208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7-4A1F-840D-5960AB069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031488"/>
        <c:axId val="246033024"/>
      </c:barChart>
      <c:catAx>
        <c:axId val="246031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6033024"/>
        <c:crosses val="autoZero"/>
        <c:auto val="1"/>
        <c:lblAlgn val="ctr"/>
        <c:lblOffset val="100"/>
        <c:noMultiLvlLbl val="0"/>
      </c:catAx>
      <c:valAx>
        <c:axId val="246033024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6031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94542705716389"/>
          <c:y val="0.16623959679668995"/>
          <c:w val="0.793137859908839"/>
          <c:h val="0.60191547145989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裾評価用シート!$D$6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裾評価用シート!$A$134:$A$335</c:f>
              <c:strCache>
                <c:ptCount val="75"/>
                <c:pt idx="0">
                  <c:v>2.5-2.52</c:v>
                </c:pt>
                <c:pt idx="1">
                  <c:v>2.52-2.54</c:v>
                </c:pt>
                <c:pt idx="2">
                  <c:v>2.54-2.56</c:v>
                </c:pt>
                <c:pt idx="3">
                  <c:v>2.56-2.58</c:v>
                </c:pt>
                <c:pt idx="4">
                  <c:v>2.58-2.6</c:v>
                </c:pt>
                <c:pt idx="5">
                  <c:v>2.6-2.62</c:v>
                </c:pt>
                <c:pt idx="6">
                  <c:v>2.62-2.64</c:v>
                </c:pt>
                <c:pt idx="7">
                  <c:v>2.64-2.66</c:v>
                </c:pt>
                <c:pt idx="8">
                  <c:v>2.66-2.68</c:v>
                </c:pt>
                <c:pt idx="9">
                  <c:v>2.68-2.7</c:v>
                </c:pt>
                <c:pt idx="10">
                  <c:v>2.7-2.72</c:v>
                </c:pt>
                <c:pt idx="11">
                  <c:v>2.72-2.74</c:v>
                </c:pt>
                <c:pt idx="12">
                  <c:v>2.74-2.76</c:v>
                </c:pt>
                <c:pt idx="13">
                  <c:v>2.76-2.78</c:v>
                </c:pt>
                <c:pt idx="14">
                  <c:v>2.78-2.8</c:v>
                </c:pt>
                <c:pt idx="15">
                  <c:v>2.8-2.82</c:v>
                </c:pt>
                <c:pt idx="16">
                  <c:v>2.82-2.84</c:v>
                </c:pt>
                <c:pt idx="17">
                  <c:v>2.84-2.86</c:v>
                </c:pt>
                <c:pt idx="18">
                  <c:v>2.86-2.88</c:v>
                </c:pt>
                <c:pt idx="19">
                  <c:v>2.88-2.9</c:v>
                </c:pt>
                <c:pt idx="20">
                  <c:v>2.9-2.92</c:v>
                </c:pt>
                <c:pt idx="21">
                  <c:v>2.92-2.94</c:v>
                </c:pt>
                <c:pt idx="22">
                  <c:v>2.94-2.96</c:v>
                </c:pt>
                <c:pt idx="23">
                  <c:v>2.96-2.98</c:v>
                </c:pt>
                <c:pt idx="24">
                  <c:v>2.98-3</c:v>
                </c:pt>
                <c:pt idx="25">
                  <c:v>3-3.02</c:v>
                </c:pt>
                <c:pt idx="26">
                  <c:v>3.02-3.04</c:v>
                </c:pt>
                <c:pt idx="27">
                  <c:v>3.04-3.06</c:v>
                </c:pt>
                <c:pt idx="28">
                  <c:v>3.06-3.08</c:v>
                </c:pt>
                <c:pt idx="29">
                  <c:v>3.08-3.1</c:v>
                </c:pt>
                <c:pt idx="30">
                  <c:v>3.1-3.12</c:v>
                </c:pt>
                <c:pt idx="31">
                  <c:v>3.12-3.14</c:v>
                </c:pt>
                <c:pt idx="32">
                  <c:v>3.14-3.16</c:v>
                </c:pt>
                <c:pt idx="33">
                  <c:v>3.16-3.18</c:v>
                </c:pt>
                <c:pt idx="34">
                  <c:v>3.18-3.2</c:v>
                </c:pt>
                <c:pt idx="35">
                  <c:v>3.2-3.22</c:v>
                </c:pt>
                <c:pt idx="36">
                  <c:v>3.22-3.24</c:v>
                </c:pt>
                <c:pt idx="37">
                  <c:v>3.24-3.26</c:v>
                </c:pt>
                <c:pt idx="38">
                  <c:v>3.26-3.28</c:v>
                </c:pt>
                <c:pt idx="39">
                  <c:v>3.28-3.3</c:v>
                </c:pt>
                <c:pt idx="40">
                  <c:v>3.3-3.32</c:v>
                </c:pt>
                <c:pt idx="41">
                  <c:v>3.32-3.34</c:v>
                </c:pt>
                <c:pt idx="42">
                  <c:v>3.34-3.36</c:v>
                </c:pt>
                <c:pt idx="43">
                  <c:v>3.36-3.38</c:v>
                </c:pt>
                <c:pt idx="44">
                  <c:v>3.38-3.4</c:v>
                </c:pt>
                <c:pt idx="45">
                  <c:v>3.4-3.42</c:v>
                </c:pt>
                <c:pt idx="46">
                  <c:v>3.42-3.44</c:v>
                </c:pt>
                <c:pt idx="47">
                  <c:v>3.44-3.46</c:v>
                </c:pt>
                <c:pt idx="48">
                  <c:v>3.46-3.48</c:v>
                </c:pt>
                <c:pt idx="49">
                  <c:v>3.48-3.5</c:v>
                </c:pt>
                <c:pt idx="50">
                  <c:v>3.5-3.52</c:v>
                </c:pt>
                <c:pt idx="51">
                  <c:v>3.52-3.54</c:v>
                </c:pt>
                <c:pt idx="52">
                  <c:v>3.54-3.56</c:v>
                </c:pt>
                <c:pt idx="53">
                  <c:v>3.56-3.58</c:v>
                </c:pt>
                <c:pt idx="54">
                  <c:v>3.58-3.6</c:v>
                </c:pt>
                <c:pt idx="55">
                  <c:v>3.6-3.62</c:v>
                </c:pt>
                <c:pt idx="56">
                  <c:v>3.62-3.64</c:v>
                </c:pt>
                <c:pt idx="57">
                  <c:v>3.64-3.66</c:v>
                </c:pt>
                <c:pt idx="58">
                  <c:v>3.66-3.68</c:v>
                </c:pt>
                <c:pt idx="59">
                  <c:v>3.68-3.7</c:v>
                </c:pt>
                <c:pt idx="60">
                  <c:v>3.7-3.72</c:v>
                </c:pt>
                <c:pt idx="61">
                  <c:v>3.72-3.74</c:v>
                </c:pt>
                <c:pt idx="62">
                  <c:v>3.74-3.76</c:v>
                </c:pt>
                <c:pt idx="63">
                  <c:v>3.76-3.78</c:v>
                </c:pt>
                <c:pt idx="64">
                  <c:v>3.78-3.8</c:v>
                </c:pt>
                <c:pt idx="65">
                  <c:v>3.8-3.82</c:v>
                </c:pt>
                <c:pt idx="66">
                  <c:v>3.82-3.84</c:v>
                </c:pt>
                <c:pt idx="67">
                  <c:v>3.84-3.86</c:v>
                </c:pt>
                <c:pt idx="68">
                  <c:v>3.86-3.88</c:v>
                </c:pt>
                <c:pt idx="69">
                  <c:v>3.88-3.9</c:v>
                </c:pt>
                <c:pt idx="70">
                  <c:v>3.9-3.92</c:v>
                </c:pt>
                <c:pt idx="71">
                  <c:v>3.92-3.94</c:v>
                </c:pt>
                <c:pt idx="72">
                  <c:v>3.94-3.96</c:v>
                </c:pt>
                <c:pt idx="73">
                  <c:v>3.96-3.98</c:v>
                </c:pt>
                <c:pt idx="74">
                  <c:v>3.98-4</c:v>
                </c:pt>
              </c:strCache>
            </c:strRef>
          </c:cat>
          <c:val>
            <c:numRef>
              <c:f>裾評価用シート!$D$134:$D$208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4-4534-AA95-3A51AB0C2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246643712"/>
        <c:axId val="247284480"/>
      </c:barChart>
      <c:catAx>
        <c:axId val="246643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7284480"/>
        <c:crosses val="autoZero"/>
        <c:auto val="1"/>
        <c:lblAlgn val="ctr"/>
        <c:lblOffset val="100"/>
        <c:noMultiLvlLbl val="0"/>
      </c:catAx>
      <c:valAx>
        <c:axId val="247284480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6643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832937103418817"/>
          <c:y val="0.27365695078506269"/>
          <c:w val="6.5643080003439422E-2"/>
          <c:h val="8.762195046034373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94542705716389"/>
          <c:y val="0.16623959679668995"/>
          <c:w val="0.793137859908839"/>
          <c:h val="0.60191547145989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裾評価用シート!$G$6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裾評価用シート!$A$134:$A$335</c:f>
              <c:strCache>
                <c:ptCount val="75"/>
                <c:pt idx="0">
                  <c:v>2.5-2.52</c:v>
                </c:pt>
                <c:pt idx="1">
                  <c:v>2.52-2.54</c:v>
                </c:pt>
                <c:pt idx="2">
                  <c:v>2.54-2.56</c:v>
                </c:pt>
                <c:pt idx="3">
                  <c:v>2.56-2.58</c:v>
                </c:pt>
                <c:pt idx="4">
                  <c:v>2.58-2.6</c:v>
                </c:pt>
                <c:pt idx="5">
                  <c:v>2.6-2.62</c:v>
                </c:pt>
                <c:pt idx="6">
                  <c:v>2.62-2.64</c:v>
                </c:pt>
                <c:pt idx="7">
                  <c:v>2.64-2.66</c:v>
                </c:pt>
                <c:pt idx="8">
                  <c:v>2.66-2.68</c:v>
                </c:pt>
                <c:pt idx="9">
                  <c:v>2.68-2.7</c:v>
                </c:pt>
                <c:pt idx="10">
                  <c:v>2.7-2.72</c:v>
                </c:pt>
                <c:pt idx="11">
                  <c:v>2.72-2.74</c:v>
                </c:pt>
                <c:pt idx="12">
                  <c:v>2.74-2.76</c:v>
                </c:pt>
                <c:pt idx="13">
                  <c:v>2.76-2.78</c:v>
                </c:pt>
                <c:pt idx="14">
                  <c:v>2.78-2.8</c:v>
                </c:pt>
                <c:pt idx="15">
                  <c:v>2.8-2.82</c:v>
                </c:pt>
                <c:pt idx="16">
                  <c:v>2.82-2.84</c:v>
                </c:pt>
                <c:pt idx="17">
                  <c:v>2.84-2.86</c:v>
                </c:pt>
                <c:pt idx="18">
                  <c:v>2.86-2.88</c:v>
                </c:pt>
                <c:pt idx="19">
                  <c:v>2.88-2.9</c:v>
                </c:pt>
                <c:pt idx="20">
                  <c:v>2.9-2.92</c:v>
                </c:pt>
                <c:pt idx="21">
                  <c:v>2.92-2.94</c:v>
                </c:pt>
                <c:pt idx="22">
                  <c:v>2.94-2.96</c:v>
                </c:pt>
                <c:pt idx="23">
                  <c:v>2.96-2.98</c:v>
                </c:pt>
                <c:pt idx="24">
                  <c:v>2.98-3</c:v>
                </c:pt>
                <c:pt idx="25">
                  <c:v>3-3.02</c:v>
                </c:pt>
                <c:pt idx="26">
                  <c:v>3.02-3.04</c:v>
                </c:pt>
                <c:pt idx="27">
                  <c:v>3.04-3.06</c:v>
                </c:pt>
                <c:pt idx="28">
                  <c:v>3.06-3.08</c:v>
                </c:pt>
                <c:pt idx="29">
                  <c:v>3.08-3.1</c:v>
                </c:pt>
                <c:pt idx="30">
                  <c:v>3.1-3.12</c:v>
                </c:pt>
                <c:pt idx="31">
                  <c:v>3.12-3.14</c:v>
                </c:pt>
                <c:pt idx="32">
                  <c:v>3.14-3.16</c:v>
                </c:pt>
                <c:pt idx="33">
                  <c:v>3.16-3.18</c:v>
                </c:pt>
                <c:pt idx="34">
                  <c:v>3.18-3.2</c:v>
                </c:pt>
                <c:pt idx="35">
                  <c:v>3.2-3.22</c:v>
                </c:pt>
                <c:pt idx="36">
                  <c:v>3.22-3.24</c:v>
                </c:pt>
                <c:pt idx="37">
                  <c:v>3.24-3.26</c:v>
                </c:pt>
                <c:pt idx="38">
                  <c:v>3.26-3.28</c:v>
                </c:pt>
                <c:pt idx="39">
                  <c:v>3.28-3.3</c:v>
                </c:pt>
                <c:pt idx="40">
                  <c:v>3.3-3.32</c:v>
                </c:pt>
                <c:pt idx="41">
                  <c:v>3.32-3.34</c:v>
                </c:pt>
                <c:pt idx="42">
                  <c:v>3.34-3.36</c:v>
                </c:pt>
                <c:pt idx="43">
                  <c:v>3.36-3.38</c:v>
                </c:pt>
                <c:pt idx="44">
                  <c:v>3.38-3.4</c:v>
                </c:pt>
                <c:pt idx="45">
                  <c:v>3.4-3.42</c:v>
                </c:pt>
                <c:pt idx="46">
                  <c:v>3.42-3.44</c:v>
                </c:pt>
                <c:pt idx="47">
                  <c:v>3.44-3.46</c:v>
                </c:pt>
                <c:pt idx="48">
                  <c:v>3.46-3.48</c:v>
                </c:pt>
                <c:pt idx="49">
                  <c:v>3.48-3.5</c:v>
                </c:pt>
                <c:pt idx="50">
                  <c:v>3.5-3.52</c:v>
                </c:pt>
                <c:pt idx="51">
                  <c:v>3.52-3.54</c:v>
                </c:pt>
                <c:pt idx="52">
                  <c:v>3.54-3.56</c:v>
                </c:pt>
                <c:pt idx="53">
                  <c:v>3.56-3.58</c:v>
                </c:pt>
                <c:pt idx="54">
                  <c:v>3.58-3.6</c:v>
                </c:pt>
                <c:pt idx="55">
                  <c:v>3.6-3.62</c:v>
                </c:pt>
                <c:pt idx="56">
                  <c:v>3.62-3.64</c:v>
                </c:pt>
                <c:pt idx="57">
                  <c:v>3.64-3.66</c:v>
                </c:pt>
                <c:pt idx="58">
                  <c:v>3.66-3.68</c:v>
                </c:pt>
                <c:pt idx="59">
                  <c:v>3.68-3.7</c:v>
                </c:pt>
                <c:pt idx="60">
                  <c:v>3.7-3.72</c:v>
                </c:pt>
                <c:pt idx="61">
                  <c:v>3.72-3.74</c:v>
                </c:pt>
                <c:pt idx="62">
                  <c:v>3.74-3.76</c:v>
                </c:pt>
                <c:pt idx="63">
                  <c:v>3.76-3.78</c:v>
                </c:pt>
                <c:pt idx="64">
                  <c:v>3.78-3.8</c:v>
                </c:pt>
                <c:pt idx="65">
                  <c:v>3.8-3.82</c:v>
                </c:pt>
                <c:pt idx="66">
                  <c:v>3.82-3.84</c:v>
                </c:pt>
                <c:pt idx="67">
                  <c:v>3.84-3.86</c:v>
                </c:pt>
                <c:pt idx="68">
                  <c:v>3.86-3.88</c:v>
                </c:pt>
                <c:pt idx="69">
                  <c:v>3.88-3.9</c:v>
                </c:pt>
                <c:pt idx="70">
                  <c:v>3.9-3.92</c:v>
                </c:pt>
                <c:pt idx="71">
                  <c:v>3.92-3.94</c:v>
                </c:pt>
                <c:pt idx="72">
                  <c:v>3.94-3.96</c:v>
                </c:pt>
                <c:pt idx="73">
                  <c:v>3.96-3.98</c:v>
                </c:pt>
                <c:pt idx="74">
                  <c:v>3.98-4</c:v>
                </c:pt>
              </c:strCache>
            </c:strRef>
          </c:cat>
          <c:val>
            <c:numRef>
              <c:f>裾評価用シート!$G$134:$G$208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D-4DA7-8BF6-7C5CBC951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247326208"/>
        <c:axId val="247327744"/>
      </c:barChart>
      <c:catAx>
        <c:axId val="2473262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7327744"/>
        <c:crosses val="autoZero"/>
        <c:auto val="1"/>
        <c:lblAlgn val="ctr"/>
        <c:lblOffset val="100"/>
        <c:noMultiLvlLbl val="0"/>
      </c:catAx>
      <c:valAx>
        <c:axId val="247327744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7326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832937103418817"/>
          <c:y val="0.27365695078506269"/>
          <c:w val="6.5643080003439422E-2"/>
          <c:h val="8.762195046034373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94542705716389"/>
          <c:y val="0.16623959679668995"/>
          <c:w val="0.793137859908839"/>
          <c:h val="0.60191547145989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裾評価用シート!$F$6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裾評価用シート!$A$134:$A$335</c:f>
              <c:strCache>
                <c:ptCount val="75"/>
                <c:pt idx="0">
                  <c:v>2.5-2.52</c:v>
                </c:pt>
                <c:pt idx="1">
                  <c:v>2.52-2.54</c:v>
                </c:pt>
                <c:pt idx="2">
                  <c:v>2.54-2.56</c:v>
                </c:pt>
                <c:pt idx="3">
                  <c:v>2.56-2.58</c:v>
                </c:pt>
                <c:pt idx="4">
                  <c:v>2.58-2.6</c:v>
                </c:pt>
                <c:pt idx="5">
                  <c:v>2.6-2.62</c:v>
                </c:pt>
                <c:pt idx="6">
                  <c:v>2.62-2.64</c:v>
                </c:pt>
                <c:pt idx="7">
                  <c:v>2.64-2.66</c:v>
                </c:pt>
                <c:pt idx="8">
                  <c:v>2.66-2.68</c:v>
                </c:pt>
                <c:pt idx="9">
                  <c:v>2.68-2.7</c:v>
                </c:pt>
                <c:pt idx="10">
                  <c:v>2.7-2.72</c:v>
                </c:pt>
                <c:pt idx="11">
                  <c:v>2.72-2.74</c:v>
                </c:pt>
                <c:pt idx="12">
                  <c:v>2.74-2.76</c:v>
                </c:pt>
                <c:pt idx="13">
                  <c:v>2.76-2.78</c:v>
                </c:pt>
                <c:pt idx="14">
                  <c:v>2.78-2.8</c:v>
                </c:pt>
                <c:pt idx="15">
                  <c:v>2.8-2.82</c:v>
                </c:pt>
                <c:pt idx="16">
                  <c:v>2.82-2.84</c:v>
                </c:pt>
                <c:pt idx="17">
                  <c:v>2.84-2.86</c:v>
                </c:pt>
                <c:pt idx="18">
                  <c:v>2.86-2.88</c:v>
                </c:pt>
                <c:pt idx="19">
                  <c:v>2.88-2.9</c:v>
                </c:pt>
                <c:pt idx="20">
                  <c:v>2.9-2.92</c:v>
                </c:pt>
                <c:pt idx="21">
                  <c:v>2.92-2.94</c:v>
                </c:pt>
                <c:pt idx="22">
                  <c:v>2.94-2.96</c:v>
                </c:pt>
                <c:pt idx="23">
                  <c:v>2.96-2.98</c:v>
                </c:pt>
                <c:pt idx="24">
                  <c:v>2.98-3</c:v>
                </c:pt>
                <c:pt idx="25">
                  <c:v>3-3.02</c:v>
                </c:pt>
                <c:pt idx="26">
                  <c:v>3.02-3.04</c:v>
                </c:pt>
                <c:pt idx="27">
                  <c:v>3.04-3.06</c:v>
                </c:pt>
                <c:pt idx="28">
                  <c:v>3.06-3.08</c:v>
                </c:pt>
                <c:pt idx="29">
                  <c:v>3.08-3.1</c:v>
                </c:pt>
                <c:pt idx="30">
                  <c:v>3.1-3.12</c:v>
                </c:pt>
                <c:pt idx="31">
                  <c:v>3.12-3.14</c:v>
                </c:pt>
                <c:pt idx="32">
                  <c:v>3.14-3.16</c:v>
                </c:pt>
                <c:pt idx="33">
                  <c:v>3.16-3.18</c:v>
                </c:pt>
                <c:pt idx="34">
                  <c:v>3.18-3.2</c:v>
                </c:pt>
                <c:pt idx="35">
                  <c:v>3.2-3.22</c:v>
                </c:pt>
                <c:pt idx="36">
                  <c:v>3.22-3.24</c:v>
                </c:pt>
                <c:pt idx="37">
                  <c:v>3.24-3.26</c:v>
                </c:pt>
                <c:pt idx="38">
                  <c:v>3.26-3.28</c:v>
                </c:pt>
                <c:pt idx="39">
                  <c:v>3.28-3.3</c:v>
                </c:pt>
                <c:pt idx="40">
                  <c:v>3.3-3.32</c:v>
                </c:pt>
                <c:pt idx="41">
                  <c:v>3.32-3.34</c:v>
                </c:pt>
                <c:pt idx="42">
                  <c:v>3.34-3.36</c:v>
                </c:pt>
                <c:pt idx="43">
                  <c:v>3.36-3.38</c:v>
                </c:pt>
                <c:pt idx="44">
                  <c:v>3.38-3.4</c:v>
                </c:pt>
                <c:pt idx="45">
                  <c:v>3.4-3.42</c:v>
                </c:pt>
                <c:pt idx="46">
                  <c:v>3.42-3.44</c:v>
                </c:pt>
                <c:pt idx="47">
                  <c:v>3.44-3.46</c:v>
                </c:pt>
                <c:pt idx="48">
                  <c:v>3.46-3.48</c:v>
                </c:pt>
                <c:pt idx="49">
                  <c:v>3.48-3.5</c:v>
                </c:pt>
                <c:pt idx="50">
                  <c:v>3.5-3.52</c:v>
                </c:pt>
                <c:pt idx="51">
                  <c:v>3.52-3.54</c:v>
                </c:pt>
                <c:pt idx="52">
                  <c:v>3.54-3.56</c:v>
                </c:pt>
                <c:pt idx="53">
                  <c:v>3.56-3.58</c:v>
                </c:pt>
                <c:pt idx="54">
                  <c:v>3.58-3.6</c:v>
                </c:pt>
                <c:pt idx="55">
                  <c:v>3.6-3.62</c:v>
                </c:pt>
                <c:pt idx="56">
                  <c:v>3.62-3.64</c:v>
                </c:pt>
                <c:pt idx="57">
                  <c:v>3.64-3.66</c:v>
                </c:pt>
                <c:pt idx="58">
                  <c:v>3.66-3.68</c:v>
                </c:pt>
                <c:pt idx="59">
                  <c:v>3.68-3.7</c:v>
                </c:pt>
                <c:pt idx="60">
                  <c:v>3.7-3.72</c:v>
                </c:pt>
                <c:pt idx="61">
                  <c:v>3.72-3.74</c:v>
                </c:pt>
                <c:pt idx="62">
                  <c:v>3.74-3.76</c:v>
                </c:pt>
                <c:pt idx="63">
                  <c:v>3.76-3.78</c:v>
                </c:pt>
                <c:pt idx="64">
                  <c:v>3.78-3.8</c:v>
                </c:pt>
                <c:pt idx="65">
                  <c:v>3.8-3.82</c:v>
                </c:pt>
                <c:pt idx="66">
                  <c:v>3.82-3.84</c:v>
                </c:pt>
                <c:pt idx="67">
                  <c:v>3.84-3.86</c:v>
                </c:pt>
                <c:pt idx="68">
                  <c:v>3.86-3.88</c:v>
                </c:pt>
                <c:pt idx="69">
                  <c:v>3.88-3.9</c:v>
                </c:pt>
                <c:pt idx="70">
                  <c:v>3.9-3.92</c:v>
                </c:pt>
                <c:pt idx="71">
                  <c:v>3.92-3.94</c:v>
                </c:pt>
                <c:pt idx="72">
                  <c:v>3.94-3.96</c:v>
                </c:pt>
                <c:pt idx="73">
                  <c:v>3.96-3.98</c:v>
                </c:pt>
                <c:pt idx="74">
                  <c:v>3.98-4</c:v>
                </c:pt>
              </c:strCache>
            </c:strRef>
          </c:cat>
          <c:val>
            <c:numRef>
              <c:f>裾評価用シート!$F$134:$F$208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57-43C3-B95C-4CC9B680C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256126336"/>
        <c:axId val="256144512"/>
      </c:barChart>
      <c:catAx>
        <c:axId val="256126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6144512"/>
        <c:crosses val="autoZero"/>
        <c:auto val="1"/>
        <c:lblAlgn val="ctr"/>
        <c:lblOffset val="100"/>
        <c:noMultiLvlLbl val="0"/>
      </c:catAx>
      <c:valAx>
        <c:axId val="256144512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6126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832937103418817"/>
          <c:y val="0.27365695078506269"/>
          <c:w val="6.5643080003439422E-2"/>
          <c:h val="8.762195046034373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 sz="1800" b="1" i="0" baseline="0">
                <a:effectLst/>
              </a:rPr>
              <a:t>vcxxxx_xx_xx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94542705716389"/>
          <c:y val="0.16623959679668995"/>
          <c:w val="0.793137859908839"/>
          <c:h val="0.60191547145989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裾評価用シート!$E$6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裾評価用シート!$A$134:$A$335</c:f>
              <c:strCache>
                <c:ptCount val="75"/>
                <c:pt idx="0">
                  <c:v>2.5-2.52</c:v>
                </c:pt>
                <c:pt idx="1">
                  <c:v>2.52-2.54</c:v>
                </c:pt>
                <c:pt idx="2">
                  <c:v>2.54-2.56</c:v>
                </c:pt>
                <c:pt idx="3">
                  <c:v>2.56-2.58</c:v>
                </c:pt>
                <c:pt idx="4">
                  <c:v>2.58-2.6</c:v>
                </c:pt>
                <c:pt idx="5">
                  <c:v>2.6-2.62</c:v>
                </c:pt>
                <c:pt idx="6">
                  <c:v>2.62-2.64</c:v>
                </c:pt>
                <c:pt idx="7">
                  <c:v>2.64-2.66</c:v>
                </c:pt>
                <c:pt idx="8">
                  <c:v>2.66-2.68</c:v>
                </c:pt>
                <c:pt idx="9">
                  <c:v>2.68-2.7</c:v>
                </c:pt>
                <c:pt idx="10">
                  <c:v>2.7-2.72</c:v>
                </c:pt>
                <c:pt idx="11">
                  <c:v>2.72-2.74</c:v>
                </c:pt>
                <c:pt idx="12">
                  <c:v>2.74-2.76</c:v>
                </c:pt>
                <c:pt idx="13">
                  <c:v>2.76-2.78</c:v>
                </c:pt>
                <c:pt idx="14">
                  <c:v>2.78-2.8</c:v>
                </c:pt>
                <c:pt idx="15">
                  <c:v>2.8-2.82</c:v>
                </c:pt>
                <c:pt idx="16">
                  <c:v>2.82-2.84</c:v>
                </c:pt>
                <c:pt idx="17">
                  <c:v>2.84-2.86</c:v>
                </c:pt>
                <c:pt idx="18">
                  <c:v>2.86-2.88</c:v>
                </c:pt>
                <c:pt idx="19">
                  <c:v>2.88-2.9</c:v>
                </c:pt>
                <c:pt idx="20">
                  <c:v>2.9-2.92</c:v>
                </c:pt>
                <c:pt idx="21">
                  <c:v>2.92-2.94</c:v>
                </c:pt>
                <c:pt idx="22">
                  <c:v>2.94-2.96</c:v>
                </c:pt>
                <c:pt idx="23">
                  <c:v>2.96-2.98</c:v>
                </c:pt>
                <c:pt idx="24">
                  <c:v>2.98-3</c:v>
                </c:pt>
                <c:pt idx="25">
                  <c:v>3-3.02</c:v>
                </c:pt>
                <c:pt idx="26">
                  <c:v>3.02-3.04</c:v>
                </c:pt>
                <c:pt idx="27">
                  <c:v>3.04-3.06</c:v>
                </c:pt>
                <c:pt idx="28">
                  <c:v>3.06-3.08</c:v>
                </c:pt>
                <c:pt idx="29">
                  <c:v>3.08-3.1</c:v>
                </c:pt>
                <c:pt idx="30">
                  <c:v>3.1-3.12</c:v>
                </c:pt>
                <c:pt idx="31">
                  <c:v>3.12-3.14</c:v>
                </c:pt>
                <c:pt idx="32">
                  <c:v>3.14-3.16</c:v>
                </c:pt>
                <c:pt idx="33">
                  <c:v>3.16-3.18</c:v>
                </c:pt>
                <c:pt idx="34">
                  <c:v>3.18-3.2</c:v>
                </c:pt>
                <c:pt idx="35">
                  <c:v>3.2-3.22</c:v>
                </c:pt>
                <c:pt idx="36">
                  <c:v>3.22-3.24</c:v>
                </c:pt>
                <c:pt idx="37">
                  <c:v>3.24-3.26</c:v>
                </c:pt>
                <c:pt idx="38">
                  <c:v>3.26-3.28</c:v>
                </c:pt>
                <c:pt idx="39">
                  <c:v>3.28-3.3</c:v>
                </c:pt>
                <c:pt idx="40">
                  <c:v>3.3-3.32</c:v>
                </c:pt>
                <c:pt idx="41">
                  <c:v>3.32-3.34</c:v>
                </c:pt>
                <c:pt idx="42">
                  <c:v>3.34-3.36</c:v>
                </c:pt>
                <c:pt idx="43">
                  <c:v>3.36-3.38</c:v>
                </c:pt>
                <c:pt idx="44">
                  <c:v>3.38-3.4</c:v>
                </c:pt>
                <c:pt idx="45">
                  <c:v>3.4-3.42</c:v>
                </c:pt>
                <c:pt idx="46">
                  <c:v>3.42-3.44</c:v>
                </c:pt>
                <c:pt idx="47">
                  <c:v>3.44-3.46</c:v>
                </c:pt>
                <c:pt idx="48">
                  <c:v>3.46-3.48</c:v>
                </c:pt>
                <c:pt idx="49">
                  <c:v>3.48-3.5</c:v>
                </c:pt>
                <c:pt idx="50">
                  <c:v>3.5-3.52</c:v>
                </c:pt>
                <c:pt idx="51">
                  <c:v>3.52-3.54</c:v>
                </c:pt>
                <c:pt idx="52">
                  <c:v>3.54-3.56</c:v>
                </c:pt>
                <c:pt idx="53">
                  <c:v>3.56-3.58</c:v>
                </c:pt>
                <c:pt idx="54">
                  <c:v>3.58-3.6</c:v>
                </c:pt>
                <c:pt idx="55">
                  <c:v>3.6-3.62</c:v>
                </c:pt>
                <c:pt idx="56">
                  <c:v>3.62-3.64</c:v>
                </c:pt>
                <c:pt idx="57">
                  <c:v>3.64-3.66</c:v>
                </c:pt>
                <c:pt idx="58">
                  <c:v>3.66-3.68</c:v>
                </c:pt>
                <c:pt idx="59">
                  <c:v>3.68-3.7</c:v>
                </c:pt>
                <c:pt idx="60">
                  <c:v>3.7-3.72</c:v>
                </c:pt>
                <c:pt idx="61">
                  <c:v>3.72-3.74</c:v>
                </c:pt>
                <c:pt idx="62">
                  <c:v>3.74-3.76</c:v>
                </c:pt>
                <c:pt idx="63">
                  <c:v>3.76-3.78</c:v>
                </c:pt>
                <c:pt idx="64">
                  <c:v>3.78-3.8</c:v>
                </c:pt>
                <c:pt idx="65">
                  <c:v>3.8-3.82</c:v>
                </c:pt>
                <c:pt idx="66">
                  <c:v>3.82-3.84</c:v>
                </c:pt>
                <c:pt idx="67">
                  <c:v>3.84-3.86</c:v>
                </c:pt>
                <c:pt idx="68">
                  <c:v>3.86-3.88</c:v>
                </c:pt>
                <c:pt idx="69">
                  <c:v>3.88-3.9</c:v>
                </c:pt>
                <c:pt idx="70">
                  <c:v>3.9-3.92</c:v>
                </c:pt>
                <c:pt idx="71">
                  <c:v>3.92-3.94</c:v>
                </c:pt>
                <c:pt idx="72">
                  <c:v>3.94-3.96</c:v>
                </c:pt>
                <c:pt idx="73">
                  <c:v>3.96-3.98</c:v>
                </c:pt>
                <c:pt idx="74">
                  <c:v>3.98-4</c:v>
                </c:pt>
              </c:strCache>
            </c:strRef>
          </c:cat>
          <c:val>
            <c:numRef>
              <c:f>裾評価用シート!$E$134:$E$208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62-43DE-9965-E4C90F1E2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255919232"/>
        <c:axId val="255920768"/>
      </c:barChart>
      <c:catAx>
        <c:axId val="2559192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5920768"/>
        <c:crosses val="autoZero"/>
        <c:auto val="1"/>
        <c:lblAlgn val="ctr"/>
        <c:lblOffset val="100"/>
        <c:noMultiLvlLbl val="0"/>
      </c:catAx>
      <c:valAx>
        <c:axId val="255920768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endParaRPr lang="ja-JP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5919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832937103418817"/>
          <c:y val="0.27365695078506269"/>
          <c:w val="6.5643080003439422E-2"/>
          <c:h val="8.7621950460343739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3</xdr:row>
          <xdr:rowOff>28575</xdr:rowOff>
        </xdr:from>
        <xdr:to>
          <xdr:col>2</xdr:col>
          <xdr:colOff>200025</xdr:colOff>
          <xdr:row>5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1.0x ResultCSV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10</xdr:row>
          <xdr:rowOff>19050</xdr:rowOff>
        </xdr:from>
        <xdr:to>
          <xdr:col>2</xdr:col>
          <xdr:colOff>219075</xdr:colOff>
          <xdr:row>12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ヒストグラム作成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（解析改良版）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12</xdr:row>
      <xdr:rowOff>0</xdr:rowOff>
    </xdr:from>
    <xdr:ext cx="4114800" cy="3715376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58000" y="2066925"/>
          <a:ext cx="4114800" cy="371537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eaLnBrk="1" fontAlgn="auto" latinLnBrk="0" hangingPunct="1"/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○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Analyze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setting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通常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3.50°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瞳外固着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7.0°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>
            <a:effectLst/>
          </a:endParaRPr>
        </a:p>
        <a:p>
          <a:r>
            <a:rPr kumimoji="1" lang="ja-JP" altLang="ja-JP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（設定例）</a:t>
          </a:r>
          <a:endParaRPr lang="ja-JP" altLang="ja-JP" b="0">
            <a:effectLst/>
          </a:endParaRPr>
        </a:p>
        <a:p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小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3.50°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瞳外固着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lang="ja-JP" altLang="ja-JP">
            <a:effectLst/>
          </a:endParaRPr>
        </a:p>
        <a:p>
          <a:endParaRPr kumimoji="1" lang="en-US" altLang="ja-JP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大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5.50°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瞳外固着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5.5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7.0°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lang="ja-JP" altLang="ja-JP">
            <a:effectLst/>
          </a:endParaRPr>
        </a:p>
        <a:p>
          <a:endParaRPr kumimoji="1" lang="en-US" altLang="ja-JP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6</xdr:row>
          <xdr:rowOff>28575</xdr:rowOff>
        </xdr:from>
        <xdr:to>
          <xdr:col>2</xdr:col>
          <xdr:colOff>200025</xdr:colOff>
          <xdr:row>8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0.75x ResultCSV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11</xdr:row>
          <xdr:rowOff>38100</xdr:rowOff>
        </xdr:from>
        <xdr:to>
          <xdr:col>6</xdr:col>
          <xdr:colOff>342900</xdr:colOff>
          <xdr:row>12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マップCSV化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12</xdr:row>
      <xdr:rowOff>0</xdr:rowOff>
    </xdr:from>
    <xdr:ext cx="5448300" cy="7005123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6858000" y="2057400"/>
          <a:ext cx="5448300" cy="700512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eaLnBrk="1" fontAlgn="auto" latinLnBrk="0" hangingPunct="1"/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○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Analyze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setting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通常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3.50°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瞳外固着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7.0°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>
            <a:effectLst/>
          </a:endParaRPr>
        </a:p>
        <a:p>
          <a:r>
            <a:rPr kumimoji="1" lang="ja-JP" altLang="ja-JP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（設定例）</a:t>
          </a:r>
          <a:endParaRPr lang="ja-JP" altLang="ja-JP" b="0">
            <a:effectLst/>
          </a:endParaRPr>
        </a:p>
        <a:p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小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3.50°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瞳外固着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lang="ja-JP" altLang="ja-JP">
            <a:effectLst/>
          </a:endParaRPr>
        </a:p>
        <a:p>
          <a:endParaRPr kumimoji="1" lang="en-US" altLang="ja-JP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大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0.20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5.50°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瞳外固着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5.5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（駆動角度の最大値）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瞳内固着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0.2°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（駆動角度の最小値）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方位合計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7.0°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方向合計角度）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方位駆動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0.5°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駆動時の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Tilt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範囲）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使用方法</a:t>
          </a:r>
          <a:endParaRPr kumimoji="1" lang="en-US" altLang="ja-JP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D17:E17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に切り出すサイズを記入し、分析対象のデータが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OSCAL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か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NewView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かを</a:t>
          </a: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D18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に記入して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分析のみ”ボタンを押し、　基本処理済みのデータ（全方位の</a:t>
          </a: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結果がひとまとめになった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xlsx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）を選択します。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NG_List_solo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シートが追加され</a:t>
          </a: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分析結果が記入されます。</a:t>
          </a:r>
        </a:p>
        <a:p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＊切り出す範囲は中心から指定のサイズです。</a:t>
          </a:r>
        </a:p>
        <a:p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（任意で切り出したければ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D15:E16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に範囲を記入すればできます）</a:t>
          </a:r>
        </a:p>
        <a:p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＊判定条件は従来と同じですが、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OSCAL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の際は少しアレンジしています</a:t>
          </a:r>
        </a:p>
        <a:p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　（方位や±が異なる上にスキャン範囲外が全て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</a:t>
          </a:r>
          <a:r>
            <a:rPr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扱いなので）</a:t>
          </a:r>
          <a:endParaRPr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解析エラー修正方法</a:t>
          </a:r>
          <a:endParaRPr lang="en-US" altLang="ja-JP" sz="11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各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Fld</a:t>
          </a:r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の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csv</a:t>
          </a:r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ファイル内に解析エラー値があった場合、</a:t>
          </a:r>
          <a:endParaRPr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メモ帳上で修正値に置換する必要がある。</a:t>
          </a:r>
          <a:endParaRPr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-1.#IND000000000000e+000</a:t>
          </a:r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　← 解析エラー値</a:t>
          </a:r>
          <a:endParaRPr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ja-JP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0.0000000000000000e+000    </a:t>
          </a:r>
          <a:r>
            <a:rPr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←</a:t>
          </a:r>
          <a:r>
            <a:rPr lang="ja-JP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修正値</a:t>
          </a:r>
          <a:endParaRPr lang="ja-JP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>
              <a:effectLst/>
            </a:rPr>
            <a:t>　</a:t>
          </a:r>
          <a:r>
            <a:rPr lang="en-US" altLang="ja-JP">
              <a:effectLst/>
            </a:rPr>
            <a:t>excel</a:t>
          </a:r>
          <a:r>
            <a:rPr lang="ja-JP" altLang="en-US">
              <a:effectLst/>
            </a:rPr>
            <a:t>上で置換すると、まとめマクロでは問題ないが、</a:t>
          </a:r>
          <a:endParaRPr lang="en-US" altLang="ja-JP">
            <a:effectLst/>
          </a:endParaRPr>
        </a:p>
        <a:p>
          <a:r>
            <a:rPr lang="ja-JP" altLang="en-US">
              <a:effectLst/>
            </a:rPr>
            <a:t>　変に変換されてしまうため、</a:t>
          </a:r>
          <a:r>
            <a:rPr lang="en-US" altLang="ja-JP">
              <a:effectLst/>
            </a:rPr>
            <a:t>TiltDetector</a:t>
          </a:r>
          <a:r>
            <a:rPr lang="ja-JP" altLang="en-US">
              <a:effectLst/>
            </a:rPr>
            <a:t>処理などで問題が起きる</a:t>
          </a:r>
          <a:endParaRPr lang="ja-JP" altLang="ja-JP">
            <a:effectLst/>
          </a:endParaRPr>
        </a:p>
        <a:p>
          <a:endParaRPr kumimoji="1" lang="en-US" altLang="ja-JP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10</xdr:row>
          <xdr:rowOff>28575</xdr:rowOff>
        </xdr:from>
        <xdr:to>
          <xdr:col>4</xdr:col>
          <xdr:colOff>323850</xdr:colOff>
          <xdr:row>12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NGフィルタをかけて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ヒストグラム作成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14</xdr:row>
          <xdr:rowOff>66675</xdr:rowOff>
        </xdr:from>
        <xdr:to>
          <xdr:col>1</xdr:col>
          <xdr:colOff>676275</xdr:colOff>
          <xdr:row>16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NG分析のみ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14</xdr:row>
          <xdr:rowOff>66675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99.7%領域計算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15</xdr:col>
      <xdr:colOff>408600</xdr:colOff>
      <xdr:row>22</xdr:row>
      <xdr:rowOff>58950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23</xdr:row>
      <xdr:rowOff>0</xdr:rowOff>
    </xdr:from>
    <xdr:to>
      <xdr:col>9</xdr:col>
      <xdr:colOff>408600</xdr:colOff>
      <xdr:row>40</xdr:row>
      <xdr:rowOff>58950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23</xdr:row>
      <xdr:rowOff>0</xdr:rowOff>
    </xdr:from>
    <xdr:to>
      <xdr:col>21</xdr:col>
      <xdr:colOff>408600</xdr:colOff>
      <xdr:row>40</xdr:row>
      <xdr:rowOff>58950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41</xdr:row>
      <xdr:rowOff>0</xdr:rowOff>
    </xdr:from>
    <xdr:to>
      <xdr:col>15</xdr:col>
      <xdr:colOff>408600</xdr:colOff>
      <xdr:row>58</xdr:row>
      <xdr:rowOff>58950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0</xdr:colOff>
      <xdr:row>5</xdr:row>
      <xdr:rowOff>0</xdr:rowOff>
    </xdr:from>
    <xdr:to>
      <xdr:col>33</xdr:col>
      <xdr:colOff>333375</xdr:colOff>
      <xdr:row>22</xdr:row>
      <xdr:rowOff>57151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24</xdr:row>
      <xdr:rowOff>0</xdr:rowOff>
    </xdr:from>
    <xdr:to>
      <xdr:col>30</xdr:col>
      <xdr:colOff>333375</xdr:colOff>
      <xdr:row>41</xdr:row>
      <xdr:rowOff>57151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0</xdr:colOff>
      <xdr:row>24</xdr:row>
      <xdr:rowOff>0</xdr:rowOff>
    </xdr:from>
    <xdr:to>
      <xdr:col>38</xdr:col>
      <xdr:colOff>333375</xdr:colOff>
      <xdr:row>41</xdr:row>
      <xdr:rowOff>57151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33</xdr:col>
      <xdr:colOff>333375</xdr:colOff>
      <xdr:row>59</xdr:row>
      <xdr:rowOff>57151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106"/>
  <sheetViews>
    <sheetView tabSelected="1" zoomScale="85" zoomScaleNormal="85" workbookViewId="0">
      <selection activeCell="Q10" sqref="Q10"/>
    </sheetView>
  </sheetViews>
  <sheetFormatPr defaultRowHeight="13.5" x14ac:dyDescent="0.15"/>
  <cols>
    <col min="6" max="30" width="9" style="16"/>
    <col min="31" max="16384" width="9" style="3"/>
  </cols>
  <sheetData>
    <row r="1" spans="1:30" x14ac:dyDescent="0.15">
      <c r="A1" s="2" t="s">
        <v>97</v>
      </c>
      <c r="F1" s="15" t="s">
        <v>65</v>
      </c>
      <c r="G1" s="15" t="s">
        <v>66</v>
      </c>
      <c r="H1" s="16" t="s">
        <v>67</v>
      </c>
      <c r="I1" s="16">
        <v>1</v>
      </c>
      <c r="K1" s="16" t="s">
        <v>14</v>
      </c>
      <c r="L1" s="16" t="s">
        <v>15</v>
      </c>
      <c r="M1" s="16" t="s">
        <v>16</v>
      </c>
      <c r="N1" s="16" t="s">
        <v>17</v>
      </c>
      <c r="O1" s="16" t="s">
        <v>18</v>
      </c>
      <c r="P1" s="16" t="s">
        <v>19</v>
      </c>
      <c r="Q1" s="16" t="s">
        <v>20</v>
      </c>
      <c r="R1" s="16" t="s">
        <v>21</v>
      </c>
      <c r="S1" s="17"/>
      <c r="T1" s="16" t="s">
        <v>68</v>
      </c>
      <c r="U1" s="17"/>
      <c r="V1" s="17"/>
      <c r="W1" s="17"/>
      <c r="X1" s="42" t="s">
        <v>60</v>
      </c>
      <c r="Y1" s="42"/>
      <c r="Z1" s="42"/>
      <c r="AB1" s="42" t="s">
        <v>61</v>
      </c>
      <c r="AC1" s="42"/>
      <c r="AD1" s="42"/>
    </row>
    <row r="2" spans="1:30" x14ac:dyDescent="0.15">
      <c r="F2" s="16" t="s">
        <v>69</v>
      </c>
      <c r="G2" s="16" t="s">
        <v>67</v>
      </c>
      <c r="H2" s="16" t="s">
        <v>70</v>
      </c>
      <c r="I2" s="16">
        <v>2</v>
      </c>
      <c r="J2" s="18" t="s">
        <v>71</v>
      </c>
      <c r="T2" s="18" t="s">
        <v>71</v>
      </c>
      <c r="V2" s="16" t="s">
        <v>72</v>
      </c>
      <c r="X2" s="17" t="s">
        <v>73</v>
      </c>
      <c r="Y2" s="17" t="s">
        <v>74</v>
      </c>
      <c r="Z2" s="17" t="s">
        <v>75</v>
      </c>
      <c r="AB2" s="17" t="s">
        <v>73</v>
      </c>
      <c r="AC2" s="17" t="s">
        <v>74</v>
      </c>
      <c r="AD2" s="17" t="s">
        <v>75</v>
      </c>
    </row>
    <row r="3" spans="1:30" x14ac:dyDescent="0.15">
      <c r="A3" t="s">
        <v>24</v>
      </c>
      <c r="E3" s="1"/>
      <c r="F3" s="16" t="s">
        <v>76</v>
      </c>
      <c r="G3" s="16" t="s">
        <v>70</v>
      </c>
      <c r="H3" s="16" t="s">
        <v>77</v>
      </c>
      <c r="I3" s="16">
        <v>3</v>
      </c>
      <c r="J3" s="18" t="s">
        <v>78</v>
      </c>
      <c r="T3" s="18" t="s">
        <v>78</v>
      </c>
      <c r="X3" s="16">
        <v>1</v>
      </c>
      <c r="Y3" s="16">
        <v>1</v>
      </c>
      <c r="Z3" s="16">
        <v>1</v>
      </c>
      <c r="AB3" s="16">
        <v>1</v>
      </c>
      <c r="AC3" s="16">
        <v>1</v>
      </c>
      <c r="AD3" s="16">
        <v>1</v>
      </c>
    </row>
    <row r="4" spans="1:30" x14ac:dyDescent="0.15">
      <c r="E4" s="1"/>
      <c r="F4" s="16" t="s">
        <v>79</v>
      </c>
      <c r="G4" s="16" t="s">
        <v>77</v>
      </c>
      <c r="H4" s="16" t="s">
        <v>80</v>
      </c>
      <c r="I4" s="16">
        <v>4</v>
      </c>
      <c r="X4" s="16">
        <v>2</v>
      </c>
      <c r="Y4" s="16">
        <v>1</v>
      </c>
      <c r="Z4" s="16">
        <v>29</v>
      </c>
      <c r="AB4" s="16">
        <v>2</v>
      </c>
      <c r="AC4" s="16">
        <v>1</v>
      </c>
      <c r="AD4" s="16">
        <v>22</v>
      </c>
    </row>
    <row r="5" spans="1:30" x14ac:dyDescent="0.15">
      <c r="F5" s="16" t="s">
        <v>81</v>
      </c>
      <c r="G5" s="16" t="s">
        <v>80</v>
      </c>
      <c r="H5" s="16" t="s">
        <v>0</v>
      </c>
      <c r="I5" s="16">
        <v>5</v>
      </c>
      <c r="J5" s="19" t="s">
        <v>82</v>
      </c>
      <c r="K5" s="16" t="s">
        <v>14</v>
      </c>
      <c r="L5" s="16" t="s">
        <v>15</v>
      </c>
      <c r="M5" s="16" t="s">
        <v>16</v>
      </c>
      <c r="N5" s="16" t="s">
        <v>17</v>
      </c>
      <c r="O5" s="16" t="s">
        <v>18</v>
      </c>
      <c r="P5" s="16" t="s">
        <v>19</v>
      </c>
      <c r="Q5" s="16" t="s">
        <v>20</v>
      </c>
      <c r="R5" s="16" t="s">
        <v>21</v>
      </c>
      <c r="T5" s="17" t="s">
        <v>82</v>
      </c>
      <c r="U5" s="17" t="s">
        <v>83</v>
      </c>
      <c r="X5" s="16">
        <v>3</v>
      </c>
      <c r="Y5" s="16">
        <v>1</v>
      </c>
      <c r="Z5" s="16">
        <v>57</v>
      </c>
      <c r="AB5" s="16">
        <v>3</v>
      </c>
      <c r="AC5" s="16">
        <v>1</v>
      </c>
      <c r="AD5" s="16">
        <v>43</v>
      </c>
    </row>
    <row r="6" spans="1:30" x14ac:dyDescent="0.15">
      <c r="F6" s="16" t="s">
        <v>84</v>
      </c>
      <c r="G6" s="16" t="s">
        <v>0</v>
      </c>
      <c r="H6" s="16" t="s">
        <v>1</v>
      </c>
      <c r="I6" s="16">
        <v>6</v>
      </c>
      <c r="J6" s="20">
        <v>0</v>
      </c>
      <c r="K6" s="17"/>
      <c r="T6" s="16">
        <v>0</v>
      </c>
      <c r="X6" s="16">
        <v>4</v>
      </c>
      <c r="Y6" s="16">
        <v>1</v>
      </c>
      <c r="Z6" s="16">
        <v>85</v>
      </c>
      <c r="AB6" s="16">
        <v>4</v>
      </c>
      <c r="AC6" s="16">
        <v>1</v>
      </c>
      <c r="AD6" s="16">
        <v>64</v>
      </c>
    </row>
    <row r="7" spans="1:30" x14ac:dyDescent="0.15">
      <c r="F7" s="16" t="s">
        <v>85</v>
      </c>
      <c r="G7" s="16" t="s">
        <v>1</v>
      </c>
      <c r="H7" s="16" t="s">
        <v>2</v>
      </c>
      <c r="I7" s="16">
        <v>7</v>
      </c>
      <c r="J7" s="20">
        <v>5.0000000000000001E-3</v>
      </c>
      <c r="K7" s="5" t="s">
        <v>86</v>
      </c>
      <c r="L7" s="6"/>
      <c r="M7" s="6"/>
      <c r="N7" s="6" t="s">
        <v>53</v>
      </c>
      <c r="O7" s="10" t="s">
        <v>87</v>
      </c>
      <c r="P7" s="22"/>
      <c r="Q7" s="43" t="s">
        <v>117</v>
      </c>
      <c r="R7" s="22"/>
      <c r="T7" s="16">
        <v>0.01</v>
      </c>
      <c r="X7" s="16">
        <v>5</v>
      </c>
      <c r="Y7" s="16">
        <v>1</v>
      </c>
      <c r="Z7" s="16">
        <v>113</v>
      </c>
      <c r="AB7" s="16">
        <v>5</v>
      </c>
      <c r="AC7" s="16">
        <v>1</v>
      </c>
      <c r="AD7" s="16">
        <v>85</v>
      </c>
    </row>
    <row r="8" spans="1:30" x14ac:dyDescent="0.15">
      <c r="F8" s="16" t="s">
        <v>88</v>
      </c>
      <c r="G8" s="16" t="s">
        <v>2</v>
      </c>
      <c r="H8" s="16" t="s">
        <v>3</v>
      </c>
      <c r="I8" s="16">
        <v>8</v>
      </c>
      <c r="J8" s="20">
        <v>0.01</v>
      </c>
      <c r="K8" s="9" t="s">
        <v>48</v>
      </c>
      <c r="L8" s="7" t="s">
        <v>89</v>
      </c>
      <c r="M8" s="7" t="s">
        <v>90</v>
      </c>
      <c r="N8" s="12">
        <v>5.5</v>
      </c>
      <c r="O8" s="11">
        <v>5.5</v>
      </c>
      <c r="P8" s="22"/>
      <c r="Q8" s="11">
        <v>5.5</v>
      </c>
      <c r="R8" s="22"/>
      <c r="T8" s="16">
        <v>0.02</v>
      </c>
      <c r="X8" s="16">
        <v>6</v>
      </c>
      <c r="Y8" s="16">
        <v>1</v>
      </c>
      <c r="Z8" s="16">
        <v>141</v>
      </c>
      <c r="AB8" s="16">
        <v>6</v>
      </c>
      <c r="AC8" s="16">
        <v>1</v>
      </c>
      <c r="AD8" s="16">
        <v>106</v>
      </c>
    </row>
    <row r="9" spans="1:30" x14ac:dyDescent="0.15">
      <c r="G9" s="16" t="s">
        <v>3</v>
      </c>
      <c r="H9" s="16" t="s">
        <v>5</v>
      </c>
      <c r="I9" s="16">
        <v>9</v>
      </c>
      <c r="J9" s="20">
        <v>1.4999999999999999E-2</v>
      </c>
      <c r="K9" s="9" t="s">
        <v>48</v>
      </c>
      <c r="L9" s="7" t="s">
        <v>89</v>
      </c>
      <c r="M9" s="7" t="s">
        <v>91</v>
      </c>
      <c r="N9" s="12">
        <v>0.2</v>
      </c>
      <c r="O9" s="11">
        <v>0.2</v>
      </c>
      <c r="P9" s="22"/>
      <c r="Q9" s="11">
        <v>0.2</v>
      </c>
      <c r="R9" s="22"/>
      <c r="T9" s="16">
        <v>0.03</v>
      </c>
      <c r="X9" s="16">
        <v>7</v>
      </c>
      <c r="Y9" s="16">
        <v>1</v>
      </c>
      <c r="Z9" s="16">
        <v>169</v>
      </c>
      <c r="AB9" s="16">
        <v>7</v>
      </c>
      <c r="AC9" s="16">
        <v>1</v>
      </c>
      <c r="AD9" s="16">
        <v>127</v>
      </c>
    </row>
    <row r="10" spans="1:30" x14ac:dyDescent="0.15">
      <c r="A10" t="s">
        <v>23</v>
      </c>
      <c r="G10" s="16" t="s">
        <v>4</v>
      </c>
      <c r="H10" s="16" t="s">
        <v>6</v>
      </c>
      <c r="I10" s="16">
        <v>10</v>
      </c>
      <c r="J10" s="20">
        <v>0.02</v>
      </c>
      <c r="K10" s="9" t="s">
        <v>47</v>
      </c>
      <c r="L10" s="8" t="s">
        <v>89</v>
      </c>
      <c r="M10" s="7" t="s">
        <v>91</v>
      </c>
      <c r="N10" s="12">
        <v>7</v>
      </c>
      <c r="O10" s="11">
        <v>7</v>
      </c>
      <c r="P10" s="22"/>
      <c r="Q10" s="11">
        <v>0</v>
      </c>
      <c r="R10" s="22"/>
      <c r="T10" s="16">
        <v>0.04</v>
      </c>
      <c r="X10" s="16">
        <v>8</v>
      </c>
      <c r="Y10" s="16">
        <v>1</v>
      </c>
      <c r="Z10" s="16">
        <v>197</v>
      </c>
      <c r="AB10" s="16">
        <v>8</v>
      </c>
      <c r="AC10" s="16">
        <v>1</v>
      </c>
      <c r="AD10" s="16">
        <v>148</v>
      </c>
    </row>
    <row r="11" spans="1:30" x14ac:dyDescent="0.15">
      <c r="G11" s="16" t="s">
        <v>5</v>
      </c>
      <c r="H11" s="16" t="s">
        <v>7</v>
      </c>
      <c r="I11" s="16">
        <v>11</v>
      </c>
      <c r="J11" s="20">
        <v>2.5000000000000001E-2</v>
      </c>
      <c r="K11" s="9" t="s">
        <v>50</v>
      </c>
      <c r="L11" s="8" t="s">
        <v>89</v>
      </c>
      <c r="M11" s="7" t="s">
        <v>90</v>
      </c>
      <c r="N11" s="12">
        <v>0.5</v>
      </c>
      <c r="O11" s="11">
        <v>0.5</v>
      </c>
      <c r="P11" s="22"/>
      <c r="Q11" s="11">
        <v>0.5</v>
      </c>
      <c r="R11" s="22"/>
      <c r="T11" s="16">
        <v>0.05</v>
      </c>
      <c r="X11" s="16">
        <v>9</v>
      </c>
      <c r="Y11" s="16">
        <v>1</v>
      </c>
      <c r="Z11" s="16">
        <v>225</v>
      </c>
      <c r="AB11" s="16">
        <v>9</v>
      </c>
      <c r="AC11" s="16">
        <v>1</v>
      </c>
      <c r="AD11" s="16">
        <v>169</v>
      </c>
    </row>
    <row r="12" spans="1:30" x14ac:dyDescent="0.15">
      <c r="G12" s="16" t="s">
        <v>6</v>
      </c>
      <c r="H12" s="16" t="s">
        <v>8</v>
      </c>
      <c r="I12" s="16">
        <v>12</v>
      </c>
      <c r="J12" s="20">
        <v>0.03</v>
      </c>
      <c r="O12" s="22"/>
      <c r="P12" s="22"/>
      <c r="Q12" s="22"/>
      <c r="R12" s="22"/>
      <c r="T12" s="16">
        <v>0.06</v>
      </c>
      <c r="X12" s="16">
        <v>10</v>
      </c>
      <c r="Y12" s="16">
        <v>1</v>
      </c>
      <c r="Z12" s="16">
        <v>253</v>
      </c>
      <c r="AB12" s="16">
        <v>10</v>
      </c>
      <c r="AC12" s="16">
        <v>1</v>
      </c>
      <c r="AD12" s="16">
        <v>190</v>
      </c>
    </row>
    <row r="13" spans="1:30" x14ac:dyDescent="0.15">
      <c r="G13" s="16" t="s">
        <v>7</v>
      </c>
      <c r="H13" s="16" t="s">
        <v>9</v>
      </c>
      <c r="I13" s="16">
        <v>13</v>
      </c>
      <c r="J13" s="20">
        <v>3.5000000000000003E-2</v>
      </c>
      <c r="K13" s="21"/>
      <c r="L13" s="22"/>
      <c r="M13" s="22"/>
      <c r="N13" s="22"/>
      <c r="O13" s="22"/>
      <c r="P13" s="22"/>
      <c r="Q13" s="22"/>
      <c r="R13" s="22"/>
      <c r="T13" s="16">
        <v>7.0000000000000007E-2</v>
      </c>
      <c r="X13" s="16">
        <v>11</v>
      </c>
      <c r="Y13" s="16">
        <v>1</v>
      </c>
      <c r="Z13" s="16">
        <v>281</v>
      </c>
      <c r="AB13" s="16">
        <v>11</v>
      </c>
      <c r="AC13" s="16">
        <v>1</v>
      </c>
      <c r="AD13" s="16">
        <v>211</v>
      </c>
    </row>
    <row r="14" spans="1:30" x14ac:dyDescent="0.15">
      <c r="G14" s="16" t="s">
        <v>8</v>
      </c>
      <c r="H14" s="16" t="s">
        <v>10</v>
      </c>
      <c r="I14" s="16">
        <v>14</v>
      </c>
      <c r="J14" s="20">
        <v>0.04</v>
      </c>
      <c r="O14" s="22"/>
      <c r="P14" s="22"/>
      <c r="Q14" s="22"/>
      <c r="R14" s="22"/>
      <c r="T14" s="16">
        <v>0.08</v>
      </c>
      <c r="X14" s="16">
        <v>12</v>
      </c>
      <c r="Y14" s="16">
        <v>1</v>
      </c>
      <c r="Z14" s="16">
        <v>309</v>
      </c>
      <c r="AB14" s="16">
        <v>12</v>
      </c>
      <c r="AC14" s="16">
        <v>1</v>
      </c>
      <c r="AD14" s="16">
        <v>232</v>
      </c>
    </row>
    <row r="15" spans="1:30" x14ac:dyDescent="0.15">
      <c r="B15" s="13"/>
      <c r="C15" s="23" t="s">
        <v>98</v>
      </c>
      <c r="D15" s="24">
        <f>ROUNDUP((320-E17)/2+1,0)</f>
        <v>1</v>
      </c>
      <c r="E15" s="24">
        <f>ROUNDUP(320-(320-E17)/2,0)</f>
        <v>320</v>
      </c>
      <c r="G15" s="16" t="s">
        <v>9</v>
      </c>
      <c r="H15" s="16" t="s">
        <v>11</v>
      </c>
      <c r="I15" s="16">
        <v>15</v>
      </c>
      <c r="J15" s="20">
        <v>4.4999999999999998E-2</v>
      </c>
      <c r="O15" s="22"/>
      <c r="P15" s="22"/>
      <c r="Q15" s="22"/>
      <c r="R15" s="22"/>
      <c r="T15" s="16">
        <v>0.09</v>
      </c>
      <c r="X15" s="16">
        <v>13</v>
      </c>
      <c r="Y15" s="16">
        <v>1</v>
      </c>
      <c r="Z15" s="16">
        <v>337</v>
      </c>
      <c r="AB15" s="16">
        <v>13</v>
      </c>
      <c r="AC15" s="16">
        <v>1</v>
      </c>
      <c r="AD15" s="16">
        <v>253</v>
      </c>
    </row>
    <row r="16" spans="1:30" x14ac:dyDescent="0.15">
      <c r="B16" s="13"/>
      <c r="C16" s="25" t="s">
        <v>99</v>
      </c>
      <c r="D16" s="24">
        <f>ROUNDUP((512-D17)/2+1,0)</f>
        <v>1</v>
      </c>
      <c r="E16" s="24">
        <f>ROUNDUP(512-(512-D17)/2,0)</f>
        <v>512</v>
      </c>
      <c r="G16" s="16" t="s">
        <v>10</v>
      </c>
      <c r="H16" s="16" t="s">
        <v>12</v>
      </c>
      <c r="I16" s="16">
        <v>16</v>
      </c>
      <c r="J16" s="20">
        <v>0.05</v>
      </c>
      <c r="O16" s="22"/>
      <c r="P16" s="22"/>
      <c r="Q16" s="22"/>
      <c r="R16" s="22"/>
      <c r="T16" s="16">
        <v>0.1</v>
      </c>
      <c r="X16" s="16">
        <v>14</v>
      </c>
      <c r="Y16" s="16">
        <v>1</v>
      </c>
      <c r="Z16" s="16">
        <v>365</v>
      </c>
      <c r="AB16" s="16">
        <v>14</v>
      </c>
      <c r="AC16" s="16">
        <v>1</v>
      </c>
      <c r="AD16" s="16">
        <v>274</v>
      </c>
    </row>
    <row r="17" spans="1:30" x14ac:dyDescent="0.15">
      <c r="B17" s="13"/>
      <c r="C17" s="14" t="s">
        <v>100</v>
      </c>
      <c r="D17" s="13">
        <v>512</v>
      </c>
      <c r="E17" s="13">
        <v>320</v>
      </c>
      <c r="G17" s="16" t="s">
        <v>11</v>
      </c>
      <c r="J17" s="20">
        <v>5.5E-2</v>
      </c>
      <c r="K17" s="17"/>
      <c r="T17" s="16">
        <v>0.11</v>
      </c>
      <c r="X17" s="16">
        <v>15</v>
      </c>
      <c r="Y17" s="16">
        <v>1</v>
      </c>
      <c r="Z17" s="16">
        <v>393</v>
      </c>
      <c r="AB17" s="16">
        <v>15</v>
      </c>
      <c r="AC17" s="16">
        <v>1</v>
      </c>
      <c r="AD17" s="16">
        <v>295</v>
      </c>
    </row>
    <row r="18" spans="1:30" ht="14.25" thickBot="1" x14ac:dyDescent="0.2">
      <c r="B18" s="26" t="s">
        <v>101</v>
      </c>
      <c r="D18" s="14">
        <v>1</v>
      </c>
      <c r="E18" s="13"/>
      <c r="G18" s="16" t="s">
        <v>12</v>
      </c>
      <c r="J18" s="20">
        <v>0.06</v>
      </c>
      <c r="K18" s="17"/>
      <c r="T18" s="16">
        <v>0.12</v>
      </c>
      <c r="X18" s="16">
        <v>16</v>
      </c>
      <c r="Y18" s="16">
        <v>1</v>
      </c>
      <c r="Z18" s="16">
        <v>421</v>
      </c>
      <c r="AB18" s="16">
        <v>16</v>
      </c>
      <c r="AC18" s="16">
        <v>1</v>
      </c>
      <c r="AD18" s="16">
        <v>316</v>
      </c>
    </row>
    <row r="19" spans="1:30" x14ac:dyDescent="0.15">
      <c r="B19" s="33" t="s">
        <v>22</v>
      </c>
      <c r="C19" s="34"/>
      <c r="D19" s="34"/>
      <c r="E19" s="35"/>
      <c r="G19" s="16" t="s">
        <v>13</v>
      </c>
      <c r="J19" s="20">
        <v>6.5000000000000002E-2</v>
      </c>
      <c r="K19" s="17"/>
      <c r="T19" s="16">
        <v>0.13</v>
      </c>
      <c r="X19" s="16">
        <v>17</v>
      </c>
      <c r="Y19" s="16">
        <v>1</v>
      </c>
      <c r="Z19" s="16">
        <v>449</v>
      </c>
      <c r="AB19" s="16">
        <v>17</v>
      </c>
      <c r="AC19" s="16">
        <v>1</v>
      </c>
      <c r="AD19" s="16">
        <v>337</v>
      </c>
    </row>
    <row r="20" spans="1:30" x14ac:dyDescent="0.15">
      <c r="B20" s="36"/>
      <c r="C20" s="37"/>
      <c r="D20" s="37"/>
      <c r="E20" s="38"/>
      <c r="J20" s="20">
        <v>7.0000000000000007E-2</v>
      </c>
      <c r="K20" s="17"/>
      <c r="T20" s="16">
        <v>0.14000000000000001</v>
      </c>
      <c r="X20" s="16">
        <v>18</v>
      </c>
      <c r="Y20" s="16">
        <v>1</v>
      </c>
      <c r="Z20" s="16">
        <v>477</v>
      </c>
      <c r="AB20" s="16">
        <v>18</v>
      </c>
      <c r="AC20" s="16">
        <v>1</v>
      </c>
      <c r="AD20" s="16">
        <v>358</v>
      </c>
    </row>
    <row r="21" spans="1:30" ht="14.25" thickBot="1" x14ac:dyDescent="0.2">
      <c r="B21" s="39"/>
      <c r="C21" s="40"/>
      <c r="D21" s="40"/>
      <c r="E21" s="41"/>
      <c r="J21" s="20">
        <v>7.4999999999999997E-2</v>
      </c>
      <c r="T21" s="16">
        <v>0.15</v>
      </c>
      <c r="X21" s="16">
        <v>19</v>
      </c>
      <c r="Y21" s="16">
        <v>1</v>
      </c>
      <c r="Z21" s="16">
        <v>505</v>
      </c>
      <c r="AB21" s="16">
        <v>19</v>
      </c>
      <c r="AC21" s="16">
        <v>1</v>
      </c>
      <c r="AD21" s="16">
        <v>379</v>
      </c>
    </row>
    <row r="22" spans="1:30" x14ac:dyDescent="0.15">
      <c r="J22" s="20">
        <v>0.08</v>
      </c>
      <c r="T22" s="16">
        <v>0.16</v>
      </c>
      <c r="X22" s="16">
        <v>20</v>
      </c>
      <c r="Y22" s="16">
        <v>39</v>
      </c>
      <c r="Z22" s="16">
        <v>505</v>
      </c>
      <c r="AB22" s="16">
        <v>20</v>
      </c>
      <c r="AC22" s="16">
        <v>1</v>
      </c>
      <c r="AD22" s="16">
        <v>400</v>
      </c>
    </row>
    <row r="23" spans="1:30" x14ac:dyDescent="0.15">
      <c r="J23" s="20">
        <v>8.5000000000000006E-2</v>
      </c>
      <c r="T23" s="16">
        <v>0.17</v>
      </c>
      <c r="X23" s="16">
        <v>21</v>
      </c>
      <c r="Y23" s="16">
        <v>39</v>
      </c>
      <c r="Z23" s="16">
        <v>477</v>
      </c>
      <c r="AB23" s="16">
        <v>21</v>
      </c>
      <c r="AC23" s="16">
        <v>1</v>
      </c>
      <c r="AD23" s="16">
        <v>421</v>
      </c>
    </row>
    <row r="24" spans="1:30" x14ac:dyDescent="0.15">
      <c r="A24" t="s">
        <v>25</v>
      </c>
      <c r="J24" s="20">
        <v>0.09</v>
      </c>
      <c r="T24" s="16">
        <v>0.18</v>
      </c>
      <c r="X24" s="16">
        <v>22</v>
      </c>
      <c r="Y24" s="16">
        <v>39</v>
      </c>
      <c r="Z24" s="16">
        <v>449</v>
      </c>
      <c r="AB24" s="16">
        <v>22</v>
      </c>
      <c r="AC24" s="16">
        <v>1</v>
      </c>
      <c r="AD24" s="16">
        <v>442</v>
      </c>
    </row>
    <row r="25" spans="1:30" x14ac:dyDescent="0.15">
      <c r="A25" s="4" t="s">
        <v>26</v>
      </c>
      <c r="B25" t="s">
        <v>27</v>
      </c>
      <c r="J25" s="20">
        <v>9.5000000000000001E-2</v>
      </c>
      <c r="T25" s="16">
        <v>0.19</v>
      </c>
      <c r="X25" s="16">
        <v>23</v>
      </c>
      <c r="Y25" s="16">
        <v>39</v>
      </c>
      <c r="Z25" s="16">
        <v>421</v>
      </c>
      <c r="AB25" s="16">
        <v>23</v>
      </c>
      <c r="AC25" s="16">
        <v>1</v>
      </c>
      <c r="AD25" s="16">
        <v>463</v>
      </c>
    </row>
    <row r="26" spans="1:30" x14ac:dyDescent="0.15">
      <c r="A26" s="4" t="s">
        <v>28</v>
      </c>
      <c r="B26" t="s">
        <v>29</v>
      </c>
      <c r="J26" s="20">
        <v>0.1</v>
      </c>
      <c r="T26" s="16">
        <v>0.2</v>
      </c>
      <c r="X26" s="16">
        <v>24</v>
      </c>
      <c r="Y26" s="16">
        <v>39</v>
      </c>
      <c r="Z26" s="16">
        <v>393</v>
      </c>
      <c r="AB26" s="16">
        <v>24</v>
      </c>
      <c r="AC26" s="16">
        <v>1</v>
      </c>
      <c r="AD26" s="16">
        <v>484</v>
      </c>
    </row>
    <row r="27" spans="1:30" x14ac:dyDescent="0.15">
      <c r="A27" s="4"/>
      <c r="B27" t="s">
        <v>30</v>
      </c>
      <c r="J27" s="20">
        <v>0.105</v>
      </c>
      <c r="T27" s="16">
        <v>0.21</v>
      </c>
      <c r="X27" s="16">
        <v>25</v>
      </c>
      <c r="Y27" s="16">
        <v>39</v>
      </c>
      <c r="Z27" s="16">
        <v>365</v>
      </c>
      <c r="AB27" s="16">
        <v>25</v>
      </c>
      <c r="AC27" s="16">
        <v>1</v>
      </c>
      <c r="AD27" s="16">
        <v>505</v>
      </c>
    </row>
    <row r="28" spans="1:30" x14ac:dyDescent="0.15">
      <c r="A28" s="4" t="s">
        <v>31</v>
      </c>
      <c r="B28" t="s">
        <v>32</v>
      </c>
      <c r="J28" s="20">
        <v>0.11</v>
      </c>
      <c r="T28" s="16">
        <v>0.22</v>
      </c>
      <c r="X28" s="16">
        <v>26</v>
      </c>
      <c r="Y28" s="16">
        <v>39</v>
      </c>
      <c r="Z28" s="16">
        <v>337</v>
      </c>
      <c r="AB28" s="16">
        <v>26</v>
      </c>
      <c r="AC28" s="16">
        <v>29</v>
      </c>
      <c r="AD28" s="16">
        <v>505</v>
      </c>
    </row>
    <row r="29" spans="1:30" x14ac:dyDescent="0.15">
      <c r="A29" s="4" t="s">
        <v>33</v>
      </c>
      <c r="B29" t="s">
        <v>34</v>
      </c>
      <c r="J29" s="20">
        <v>0.115</v>
      </c>
      <c r="T29" s="16">
        <v>0.23</v>
      </c>
      <c r="X29" s="16">
        <v>27</v>
      </c>
      <c r="Y29" s="16">
        <v>39</v>
      </c>
      <c r="Z29" s="16">
        <v>309</v>
      </c>
      <c r="AB29" s="16">
        <v>27</v>
      </c>
      <c r="AC29" s="16">
        <v>29</v>
      </c>
      <c r="AD29" s="16">
        <v>484</v>
      </c>
    </row>
    <row r="30" spans="1:30" x14ac:dyDescent="0.15">
      <c r="A30" s="4" t="s">
        <v>35</v>
      </c>
      <c r="B30" t="s">
        <v>36</v>
      </c>
      <c r="J30" s="20">
        <v>0.12</v>
      </c>
      <c r="T30" s="16">
        <v>0.24</v>
      </c>
      <c r="X30" s="16">
        <v>28</v>
      </c>
      <c r="Y30" s="16">
        <v>39</v>
      </c>
      <c r="Z30" s="16">
        <v>281</v>
      </c>
      <c r="AB30" s="16">
        <v>28</v>
      </c>
      <c r="AC30" s="16">
        <v>29</v>
      </c>
      <c r="AD30" s="16">
        <v>463</v>
      </c>
    </row>
    <row r="31" spans="1:30" x14ac:dyDescent="0.15">
      <c r="A31" s="4" t="s">
        <v>37</v>
      </c>
      <c r="B31" t="s">
        <v>38</v>
      </c>
      <c r="J31" s="20">
        <v>0.125</v>
      </c>
      <c r="T31" s="16">
        <v>0.25</v>
      </c>
      <c r="X31" s="16">
        <v>29</v>
      </c>
      <c r="Y31" s="16">
        <v>39</v>
      </c>
      <c r="Z31" s="16">
        <v>253</v>
      </c>
      <c r="AB31" s="16">
        <v>29</v>
      </c>
      <c r="AC31" s="16">
        <v>29</v>
      </c>
      <c r="AD31" s="16">
        <v>442</v>
      </c>
    </row>
    <row r="32" spans="1:30" x14ac:dyDescent="0.15">
      <c r="A32" s="4"/>
      <c r="B32" t="s">
        <v>39</v>
      </c>
      <c r="J32" s="20">
        <v>0.13</v>
      </c>
      <c r="T32" s="16">
        <v>0.26</v>
      </c>
      <c r="X32" s="16">
        <v>30</v>
      </c>
      <c r="Y32" s="16">
        <v>39</v>
      </c>
      <c r="Z32" s="16">
        <v>225</v>
      </c>
      <c r="AB32" s="16">
        <v>30</v>
      </c>
      <c r="AC32" s="16">
        <v>29</v>
      </c>
      <c r="AD32" s="16">
        <v>421</v>
      </c>
    </row>
    <row r="33" spans="1:30" x14ac:dyDescent="0.15">
      <c r="A33" s="4" t="s">
        <v>40</v>
      </c>
      <c r="B33" t="s">
        <v>41</v>
      </c>
      <c r="J33" s="20">
        <v>0.13500000000000001</v>
      </c>
      <c r="T33" s="16">
        <v>0.27</v>
      </c>
      <c r="X33" s="16">
        <v>31</v>
      </c>
      <c r="Y33" s="16">
        <v>39</v>
      </c>
      <c r="Z33" s="16">
        <v>197</v>
      </c>
      <c r="AB33" s="16">
        <v>31</v>
      </c>
      <c r="AC33" s="16">
        <v>29</v>
      </c>
      <c r="AD33" s="16">
        <v>400</v>
      </c>
    </row>
    <row r="34" spans="1:30" x14ac:dyDescent="0.15">
      <c r="A34" s="4"/>
      <c r="B34" t="s">
        <v>42</v>
      </c>
      <c r="J34" s="20">
        <v>0.14000000000000001</v>
      </c>
      <c r="T34" s="16">
        <v>0.28000000000000003</v>
      </c>
      <c r="X34" s="16">
        <v>32</v>
      </c>
      <c r="Y34" s="16">
        <v>39</v>
      </c>
      <c r="Z34" s="16">
        <v>169</v>
      </c>
      <c r="AB34" s="16">
        <v>32</v>
      </c>
      <c r="AC34" s="16">
        <v>29</v>
      </c>
      <c r="AD34" s="16">
        <v>379</v>
      </c>
    </row>
    <row r="35" spans="1:30" x14ac:dyDescent="0.15">
      <c r="A35" s="4"/>
      <c r="B35" t="s">
        <v>43</v>
      </c>
      <c r="J35" s="20">
        <v>0.14499999999999999</v>
      </c>
      <c r="T35" s="16">
        <v>0.28999999999999998</v>
      </c>
      <c r="X35" s="16">
        <v>33</v>
      </c>
      <c r="Y35" s="16">
        <v>39</v>
      </c>
      <c r="Z35" s="16">
        <v>141</v>
      </c>
      <c r="AB35" s="16">
        <v>33</v>
      </c>
      <c r="AC35" s="16">
        <v>29</v>
      </c>
      <c r="AD35" s="16">
        <v>358</v>
      </c>
    </row>
    <row r="36" spans="1:30" x14ac:dyDescent="0.15">
      <c r="A36" s="4" t="s">
        <v>44</v>
      </c>
      <c r="B36" t="s">
        <v>45</v>
      </c>
      <c r="J36" s="20">
        <v>0.15</v>
      </c>
      <c r="T36" s="16">
        <v>0.3</v>
      </c>
      <c r="X36" s="16">
        <v>34</v>
      </c>
      <c r="Y36" s="16">
        <v>39</v>
      </c>
      <c r="Z36" s="16">
        <v>113</v>
      </c>
      <c r="AB36" s="16">
        <v>34</v>
      </c>
      <c r="AC36" s="16">
        <v>29</v>
      </c>
      <c r="AD36" s="16">
        <v>337</v>
      </c>
    </row>
    <row r="37" spans="1:30" x14ac:dyDescent="0.15">
      <c r="A37" s="4" t="s">
        <v>51</v>
      </c>
      <c r="B37" t="s">
        <v>52</v>
      </c>
      <c r="J37" s="20">
        <v>0.155</v>
      </c>
      <c r="T37" s="16">
        <v>0.31</v>
      </c>
      <c r="X37" s="16">
        <v>35</v>
      </c>
      <c r="Y37" s="16">
        <v>39</v>
      </c>
      <c r="Z37" s="16">
        <v>85</v>
      </c>
      <c r="AB37" s="16">
        <v>35</v>
      </c>
      <c r="AC37" s="16">
        <v>29</v>
      </c>
      <c r="AD37" s="16">
        <v>316</v>
      </c>
    </row>
    <row r="38" spans="1:30" x14ac:dyDescent="0.15">
      <c r="A38" s="4" t="s">
        <v>46</v>
      </c>
      <c r="B38" t="s">
        <v>49</v>
      </c>
      <c r="J38" s="20">
        <v>0.16</v>
      </c>
      <c r="T38" s="16">
        <v>0.32</v>
      </c>
      <c r="X38" s="16">
        <v>36</v>
      </c>
      <c r="Y38" s="16">
        <v>39</v>
      </c>
      <c r="Z38" s="16">
        <v>57</v>
      </c>
      <c r="AB38" s="16">
        <v>36</v>
      </c>
      <c r="AC38" s="16">
        <v>29</v>
      </c>
      <c r="AD38" s="16">
        <v>295</v>
      </c>
    </row>
    <row r="39" spans="1:30" x14ac:dyDescent="0.15">
      <c r="A39" s="4" t="s">
        <v>54</v>
      </c>
      <c r="B39" t="s">
        <v>55</v>
      </c>
      <c r="J39" s="20">
        <v>0.16500000000000001</v>
      </c>
      <c r="T39" s="16">
        <v>0.33</v>
      </c>
      <c r="X39" s="16">
        <v>37</v>
      </c>
      <c r="Y39" s="16">
        <v>39</v>
      </c>
      <c r="Z39" s="16">
        <v>29</v>
      </c>
      <c r="AB39" s="16">
        <v>37</v>
      </c>
      <c r="AC39" s="16">
        <v>29</v>
      </c>
      <c r="AD39" s="16">
        <v>274</v>
      </c>
    </row>
    <row r="40" spans="1:30" x14ac:dyDescent="0.15">
      <c r="A40" s="4" t="s">
        <v>56</v>
      </c>
      <c r="B40" t="s">
        <v>57</v>
      </c>
      <c r="J40" s="20">
        <v>0.17</v>
      </c>
      <c r="T40" s="16">
        <v>0.34</v>
      </c>
      <c r="X40" s="16">
        <v>38</v>
      </c>
      <c r="Y40" s="16">
        <v>39</v>
      </c>
      <c r="Z40" s="16">
        <v>1</v>
      </c>
      <c r="AB40" s="16">
        <v>38</v>
      </c>
      <c r="AC40" s="16">
        <v>29</v>
      </c>
      <c r="AD40" s="16">
        <v>253</v>
      </c>
    </row>
    <row r="41" spans="1:30" x14ac:dyDescent="0.15">
      <c r="A41" s="4" t="s">
        <v>58</v>
      </c>
      <c r="B41" t="s">
        <v>59</v>
      </c>
      <c r="J41" s="20">
        <v>0.17499999999999999</v>
      </c>
      <c r="T41" s="16">
        <v>0.35</v>
      </c>
      <c r="X41" s="16">
        <v>39</v>
      </c>
      <c r="Y41" s="16">
        <v>77</v>
      </c>
      <c r="Z41" s="16">
        <v>1</v>
      </c>
      <c r="AB41" s="16">
        <v>39</v>
      </c>
      <c r="AC41" s="16">
        <v>29</v>
      </c>
      <c r="AD41" s="16">
        <v>232</v>
      </c>
    </row>
    <row r="42" spans="1:30" x14ac:dyDescent="0.15">
      <c r="A42" s="4" t="s">
        <v>62</v>
      </c>
      <c r="B42" t="s">
        <v>63</v>
      </c>
      <c r="C42" t="s">
        <v>64</v>
      </c>
      <c r="J42" s="20">
        <v>0.18</v>
      </c>
      <c r="T42" s="16">
        <v>0.36</v>
      </c>
      <c r="X42" s="16">
        <v>40</v>
      </c>
      <c r="Y42" s="16">
        <v>77</v>
      </c>
      <c r="Z42" s="16">
        <v>29</v>
      </c>
      <c r="AB42" s="16">
        <v>40</v>
      </c>
      <c r="AC42" s="16">
        <v>29</v>
      </c>
      <c r="AD42" s="16">
        <v>211</v>
      </c>
    </row>
    <row r="43" spans="1:30" x14ac:dyDescent="0.15">
      <c r="A43" s="4" t="s">
        <v>62</v>
      </c>
      <c r="B43" t="s">
        <v>92</v>
      </c>
      <c r="C43" t="s">
        <v>93</v>
      </c>
      <c r="J43" s="20">
        <v>0.185</v>
      </c>
      <c r="T43" s="16">
        <v>0.37</v>
      </c>
      <c r="X43" s="16">
        <v>41</v>
      </c>
      <c r="Y43" s="16">
        <v>77</v>
      </c>
      <c r="Z43" s="16">
        <v>57</v>
      </c>
      <c r="AB43" s="16">
        <v>41</v>
      </c>
      <c r="AC43" s="16">
        <v>29</v>
      </c>
      <c r="AD43" s="16">
        <v>190</v>
      </c>
    </row>
    <row r="44" spans="1:30" x14ac:dyDescent="0.15">
      <c r="A44" s="4" t="s">
        <v>62</v>
      </c>
      <c r="B44" t="s">
        <v>94</v>
      </c>
      <c r="C44" t="s">
        <v>95</v>
      </c>
      <c r="J44" s="20">
        <v>0.19</v>
      </c>
      <c r="T44" s="16">
        <v>0.38</v>
      </c>
      <c r="X44" s="16">
        <v>42</v>
      </c>
      <c r="Y44" s="16">
        <v>77</v>
      </c>
      <c r="Z44" s="16">
        <v>85</v>
      </c>
      <c r="AB44" s="16">
        <v>42</v>
      </c>
      <c r="AC44" s="16">
        <v>29</v>
      </c>
      <c r="AD44" s="16">
        <v>169</v>
      </c>
    </row>
    <row r="45" spans="1:30" x14ac:dyDescent="0.15">
      <c r="C45" t="s">
        <v>96</v>
      </c>
      <c r="J45" s="20">
        <v>0.19500000000000001</v>
      </c>
      <c r="T45" s="16">
        <v>0.39</v>
      </c>
      <c r="X45" s="16">
        <v>43</v>
      </c>
      <c r="Y45" s="16">
        <v>77</v>
      </c>
      <c r="Z45" s="16">
        <v>113</v>
      </c>
      <c r="AB45" s="16">
        <v>43</v>
      </c>
      <c r="AC45" s="16">
        <v>29</v>
      </c>
      <c r="AD45" s="16">
        <v>148</v>
      </c>
    </row>
    <row r="46" spans="1:30" x14ac:dyDescent="0.15">
      <c r="A46" s="4" t="s">
        <v>62</v>
      </c>
      <c r="B46" t="s">
        <v>102</v>
      </c>
      <c r="C46" t="s">
        <v>103</v>
      </c>
      <c r="J46" s="20">
        <v>0.2</v>
      </c>
      <c r="T46" s="16">
        <v>0.4</v>
      </c>
      <c r="X46" s="16">
        <v>44</v>
      </c>
      <c r="Y46" s="16">
        <v>77</v>
      </c>
      <c r="Z46" s="16">
        <v>141</v>
      </c>
      <c r="AB46" s="16">
        <v>44</v>
      </c>
      <c r="AC46" s="16">
        <v>29</v>
      </c>
      <c r="AD46" s="16">
        <v>127</v>
      </c>
    </row>
    <row r="47" spans="1:30" x14ac:dyDescent="0.15">
      <c r="C47" t="s">
        <v>104</v>
      </c>
      <c r="J47" s="20">
        <v>0.20499999999999999</v>
      </c>
      <c r="T47" s="16">
        <v>0.41</v>
      </c>
      <c r="X47" s="16">
        <v>45</v>
      </c>
      <c r="Y47" s="16">
        <v>77</v>
      </c>
      <c r="Z47" s="16">
        <v>169</v>
      </c>
      <c r="AB47" s="16">
        <v>45</v>
      </c>
      <c r="AC47" s="16">
        <v>29</v>
      </c>
      <c r="AD47" s="16">
        <v>106</v>
      </c>
    </row>
    <row r="48" spans="1:30" x14ac:dyDescent="0.15">
      <c r="C48" s="26" t="s">
        <v>105</v>
      </c>
      <c r="D48" s="13"/>
      <c r="E48" s="13"/>
      <c r="J48" s="20">
        <v>0.21</v>
      </c>
      <c r="T48" s="16">
        <v>0.42</v>
      </c>
      <c r="X48" s="16">
        <v>46</v>
      </c>
      <c r="Y48" s="16">
        <v>77</v>
      </c>
      <c r="Z48" s="16">
        <v>197</v>
      </c>
      <c r="AB48" s="16">
        <v>46</v>
      </c>
      <c r="AC48" s="16">
        <v>29</v>
      </c>
      <c r="AD48" s="16">
        <v>85</v>
      </c>
    </row>
    <row r="49" spans="1:30" x14ac:dyDescent="0.15">
      <c r="A49" s="4" t="s">
        <v>62</v>
      </c>
      <c r="B49" t="s">
        <v>106</v>
      </c>
      <c r="C49" t="s">
        <v>107</v>
      </c>
      <c r="J49" s="20">
        <v>0.215</v>
      </c>
      <c r="T49" s="16">
        <v>0.43</v>
      </c>
      <c r="X49" s="16">
        <v>47</v>
      </c>
      <c r="Y49" s="16">
        <v>77</v>
      </c>
      <c r="Z49" s="16">
        <v>225</v>
      </c>
      <c r="AB49" s="16">
        <v>47</v>
      </c>
      <c r="AC49" s="16">
        <v>29</v>
      </c>
      <c r="AD49" s="16">
        <v>64</v>
      </c>
    </row>
    <row r="50" spans="1:30" x14ac:dyDescent="0.15">
      <c r="J50" s="20">
        <v>0.22</v>
      </c>
      <c r="T50" s="16">
        <v>0.44</v>
      </c>
      <c r="X50" s="16">
        <v>48</v>
      </c>
      <c r="Y50" s="16">
        <v>77</v>
      </c>
      <c r="Z50" s="16">
        <v>253</v>
      </c>
      <c r="AB50" s="16">
        <v>48</v>
      </c>
      <c r="AC50" s="16">
        <v>29</v>
      </c>
      <c r="AD50" s="16">
        <v>43</v>
      </c>
    </row>
    <row r="51" spans="1:30" x14ac:dyDescent="0.15">
      <c r="J51" s="20">
        <v>0.22500000000000001</v>
      </c>
      <c r="T51" s="16">
        <v>0.45</v>
      </c>
      <c r="X51" s="16">
        <v>49</v>
      </c>
      <c r="Y51" s="16">
        <v>77</v>
      </c>
      <c r="Z51" s="16">
        <v>281</v>
      </c>
      <c r="AB51" s="16">
        <v>49</v>
      </c>
      <c r="AC51" s="16">
        <v>29</v>
      </c>
      <c r="AD51" s="16">
        <v>22</v>
      </c>
    </row>
    <row r="52" spans="1:30" x14ac:dyDescent="0.15">
      <c r="J52" s="20">
        <v>0.23</v>
      </c>
      <c r="T52" s="16">
        <v>0.46</v>
      </c>
      <c r="X52" s="16">
        <v>50</v>
      </c>
      <c r="Y52" s="16">
        <v>77</v>
      </c>
      <c r="Z52" s="16">
        <v>309</v>
      </c>
      <c r="AB52" s="16">
        <v>50</v>
      </c>
      <c r="AC52" s="16">
        <v>29</v>
      </c>
      <c r="AD52" s="16">
        <v>1</v>
      </c>
    </row>
    <row r="53" spans="1:30" x14ac:dyDescent="0.15">
      <c r="J53" s="20">
        <v>0.23499999999999999</v>
      </c>
      <c r="T53" s="16">
        <v>0.47</v>
      </c>
      <c r="X53" s="16">
        <v>51</v>
      </c>
      <c r="Y53" s="16">
        <v>77</v>
      </c>
      <c r="Z53" s="16">
        <v>337</v>
      </c>
      <c r="AB53" s="16">
        <v>51</v>
      </c>
      <c r="AC53" s="16">
        <v>57</v>
      </c>
      <c r="AD53" s="16">
        <v>1</v>
      </c>
    </row>
    <row r="54" spans="1:30" x14ac:dyDescent="0.15">
      <c r="J54" s="20">
        <v>0.24</v>
      </c>
      <c r="T54" s="16">
        <v>0.48</v>
      </c>
      <c r="X54" s="16">
        <v>52</v>
      </c>
      <c r="Y54" s="16">
        <v>77</v>
      </c>
      <c r="Z54" s="16">
        <v>365</v>
      </c>
      <c r="AB54" s="16">
        <v>52</v>
      </c>
      <c r="AC54" s="16">
        <v>57</v>
      </c>
      <c r="AD54" s="16">
        <v>22</v>
      </c>
    </row>
    <row r="55" spans="1:30" x14ac:dyDescent="0.15">
      <c r="J55" s="20">
        <v>0.245</v>
      </c>
      <c r="T55" s="16">
        <v>0.49</v>
      </c>
      <c r="X55" s="16">
        <v>53</v>
      </c>
      <c r="Y55" s="16">
        <v>77</v>
      </c>
      <c r="Z55" s="16">
        <v>393</v>
      </c>
      <c r="AB55" s="16">
        <v>53</v>
      </c>
      <c r="AC55" s="16">
        <v>57</v>
      </c>
      <c r="AD55" s="16">
        <v>43</v>
      </c>
    </row>
    <row r="56" spans="1:30" x14ac:dyDescent="0.15">
      <c r="J56" s="20">
        <v>0.25</v>
      </c>
      <c r="T56" s="16">
        <v>0.5</v>
      </c>
      <c r="X56" s="16">
        <v>54</v>
      </c>
      <c r="Y56" s="16">
        <v>77</v>
      </c>
      <c r="Z56" s="16">
        <v>421</v>
      </c>
      <c r="AB56" s="16">
        <v>54</v>
      </c>
      <c r="AC56" s="16">
        <v>57</v>
      </c>
      <c r="AD56" s="16">
        <v>64</v>
      </c>
    </row>
    <row r="57" spans="1:30" x14ac:dyDescent="0.15">
      <c r="J57" s="20">
        <v>0.255</v>
      </c>
      <c r="T57" s="16">
        <v>0.51</v>
      </c>
      <c r="X57" s="16">
        <v>55</v>
      </c>
      <c r="Y57" s="16">
        <v>77</v>
      </c>
      <c r="Z57" s="16">
        <v>449</v>
      </c>
      <c r="AB57" s="16">
        <v>55</v>
      </c>
      <c r="AC57" s="16">
        <v>57</v>
      </c>
      <c r="AD57" s="16">
        <v>85</v>
      </c>
    </row>
    <row r="58" spans="1:30" x14ac:dyDescent="0.15">
      <c r="J58" s="20">
        <v>0.26</v>
      </c>
      <c r="T58" s="16">
        <v>0.52</v>
      </c>
      <c r="X58" s="16">
        <v>56</v>
      </c>
      <c r="Y58" s="16">
        <v>77</v>
      </c>
      <c r="Z58" s="16">
        <v>477</v>
      </c>
      <c r="AB58" s="16">
        <v>56</v>
      </c>
      <c r="AC58" s="16">
        <v>57</v>
      </c>
      <c r="AD58" s="16">
        <v>106</v>
      </c>
    </row>
    <row r="59" spans="1:30" x14ac:dyDescent="0.15">
      <c r="J59" s="20">
        <v>0.26500000000000001</v>
      </c>
      <c r="T59" s="16">
        <v>0.53</v>
      </c>
      <c r="X59" s="16">
        <v>57</v>
      </c>
      <c r="Y59" s="16">
        <v>77</v>
      </c>
      <c r="Z59" s="16">
        <v>505</v>
      </c>
      <c r="AB59" s="16">
        <v>57</v>
      </c>
      <c r="AC59" s="16">
        <v>57</v>
      </c>
      <c r="AD59" s="16">
        <v>127</v>
      </c>
    </row>
    <row r="60" spans="1:30" x14ac:dyDescent="0.15">
      <c r="J60" s="20">
        <v>0.27</v>
      </c>
      <c r="T60" s="16">
        <v>0.54</v>
      </c>
      <c r="X60" s="16">
        <v>58</v>
      </c>
      <c r="Y60" s="16">
        <v>115</v>
      </c>
      <c r="Z60" s="16">
        <v>505</v>
      </c>
      <c r="AB60" s="16">
        <v>58</v>
      </c>
      <c r="AC60" s="16">
        <v>57</v>
      </c>
      <c r="AD60" s="16">
        <v>148</v>
      </c>
    </row>
    <row r="61" spans="1:30" x14ac:dyDescent="0.15">
      <c r="J61" s="20">
        <v>0.27500000000000002</v>
      </c>
      <c r="T61" s="16">
        <v>0.55000000000000004</v>
      </c>
      <c r="X61" s="16">
        <v>59</v>
      </c>
      <c r="Y61" s="16">
        <v>115</v>
      </c>
      <c r="Z61" s="16">
        <v>477</v>
      </c>
      <c r="AB61" s="16">
        <v>59</v>
      </c>
      <c r="AC61" s="16">
        <v>57</v>
      </c>
      <c r="AD61" s="16">
        <v>169</v>
      </c>
    </row>
    <row r="62" spans="1:30" x14ac:dyDescent="0.15">
      <c r="J62" s="20">
        <v>0.28000000000000003</v>
      </c>
      <c r="T62" s="16">
        <v>0.56000000000000005</v>
      </c>
      <c r="X62" s="16">
        <v>60</v>
      </c>
      <c r="Y62" s="16">
        <v>115</v>
      </c>
      <c r="Z62" s="16">
        <v>449</v>
      </c>
      <c r="AB62" s="16">
        <v>60</v>
      </c>
      <c r="AC62" s="16">
        <v>57</v>
      </c>
      <c r="AD62" s="16">
        <v>190</v>
      </c>
    </row>
    <row r="63" spans="1:30" x14ac:dyDescent="0.15">
      <c r="J63" s="20">
        <v>0.28499999999999998</v>
      </c>
      <c r="T63" s="16">
        <v>0.56999999999999995</v>
      </c>
      <c r="X63" s="16">
        <v>61</v>
      </c>
      <c r="Y63" s="16">
        <v>115</v>
      </c>
      <c r="Z63" s="16">
        <v>421</v>
      </c>
      <c r="AB63" s="16">
        <v>61</v>
      </c>
      <c r="AC63" s="16">
        <v>57</v>
      </c>
      <c r="AD63" s="16">
        <v>211</v>
      </c>
    </row>
    <row r="64" spans="1:30" x14ac:dyDescent="0.15">
      <c r="J64" s="20">
        <v>0.28999999999999998</v>
      </c>
      <c r="T64" s="16">
        <v>0.57999999999999996</v>
      </c>
      <c r="X64" s="16">
        <v>62</v>
      </c>
      <c r="Y64" s="16">
        <v>115</v>
      </c>
      <c r="Z64" s="16">
        <v>393</v>
      </c>
      <c r="AB64" s="16">
        <v>62</v>
      </c>
      <c r="AC64" s="16">
        <v>57</v>
      </c>
      <c r="AD64" s="16">
        <v>232</v>
      </c>
    </row>
    <row r="65" spans="10:30" x14ac:dyDescent="0.15">
      <c r="J65" s="20">
        <v>0.29499999999999998</v>
      </c>
      <c r="T65" s="16">
        <v>0.59</v>
      </c>
      <c r="X65" s="16">
        <v>63</v>
      </c>
      <c r="Y65" s="16">
        <v>115</v>
      </c>
      <c r="Z65" s="16">
        <v>365</v>
      </c>
      <c r="AB65" s="16">
        <v>63</v>
      </c>
      <c r="AC65" s="16">
        <v>57</v>
      </c>
      <c r="AD65" s="16">
        <v>253</v>
      </c>
    </row>
    <row r="66" spans="10:30" x14ac:dyDescent="0.15">
      <c r="J66" s="20">
        <v>0.3</v>
      </c>
      <c r="T66" s="16">
        <v>0.6</v>
      </c>
      <c r="X66" s="16">
        <v>64</v>
      </c>
      <c r="Y66" s="16">
        <v>115</v>
      </c>
      <c r="Z66" s="16">
        <v>337</v>
      </c>
      <c r="AB66" s="16">
        <v>64</v>
      </c>
      <c r="AC66" s="16">
        <v>57</v>
      </c>
      <c r="AD66" s="16">
        <v>274</v>
      </c>
    </row>
    <row r="67" spans="10:30" x14ac:dyDescent="0.15">
      <c r="J67" s="20">
        <v>0.30499999999999999</v>
      </c>
      <c r="T67" s="16">
        <v>0.61</v>
      </c>
      <c r="X67" s="16">
        <v>65</v>
      </c>
      <c r="Y67" s="16">
        <v>115</v>
      </c>
      <c r="Z67" s="16">
        <v>309</v>
      </c>
      <c r="AB67" s="16">
        <v>65</v>
      </c>
      <c r="AC67" s="16">
        <v>57</v>
      </c>
      <c r="AD67" s="16">
        <v>295</v>
      </c>
    </row>
    <row r="68" spans="10:30" x14ac:dyDescent="0.15">
      <c r="J68" s="20">
        <v>0.31</v>
      </c>
      <c r="T68" s="16">
        <v>0.62</v>
      </c>
      <c r="X68" s="16">
        <v>66</v>
      </c>
      <c r="Y68" s="16">
        <v>115</v>
      </c>
      <c r="Z68" s="16">
        <v>281</v>
      </c>
      <c r="AB68" s="16">
        <v>66</v>
      </c>
      <c r="AC68" s="16">
        <v>57</v>
      </c>
      <c r="AD68" s="16">
        <v>316</v>
      </c>
    </row>
    <row r="69" spans="10:30" x14ac:dyDescent="0.15">
      <c r="J69" s="20">
        <v>0.315</v>
      </c>
      <c r="T69" s="16">
        <v>0.63</v>
      </c>
      <c r="X69" s="16">
        <v>67</v>
      </c>
      <c r="Y69" s="16">
        <v>115</v>
      </c>
      <c r="Z69" s="16">
        <v>253</v>
      </c>
      <c r="AB69" s="16">
        <v>67</v>
      </c>
      <c r="AC69" s="16">
        <v>57</v>
      </c>
      <c r="AD69" s="16">
        <v>337</v>
      </c>
    </row>
    <row r="70" spans="10:30" x14ac:dyDescent="0.15">
      <c r="J70" s="20">
        <v>0.32</v>
      </c>
      <c r="T70" s="16">
        <v>0.64</v>
      </c>
      <c r="X70" s="16">
        <v>68</v>
      </c>
      <c r="Y70" s="16">
        <v>115</v>
      </c>
      <c r="Z70" s="16">
        <v>225</v>
      </c>
      <c r="AB70" s="16">
        <v>68</v>
      </c>
      <c r="AC70" s="16">
        <v>57</v>
      </c>
      <c r="AD70" s="16">
        <v>358</v>
      </c>
    </row>
    <row r="71" spans="10:30" x14ac:dyDescent="0.15">
      <c r="J71" s="20">
        <v>0.32500000000000001</v>
      </c>
      <c r="T71" s="16">
        <v>0.65</v>
      </c>
      <c r="X71" s="16">
        <v>69</v>
      </c>
      <c r="Y71" s="16">
        <v>115</v>
      </c>
      <c r="Z71" s="16">
        <v>197</v>
      </c>
      <c r="AB71" s="16">
        <v>69</v>
      </c>
      <c r="AC71" s="16">
        <v>57</v>
      </c>
      <c r="AD71" s="16">
        <v>379</v>
      </c>
    </row>
    <row r="72" spans="10:30" x14ac:dyDescent="0.15">
      <c r="J72" s="20">
        <v>0.33</v>
      </c>
      <c r="T72" s="16">
        <v>0.66</v>
      </c>
      <c r="X72" s="16">
        <v>70</v>
      </c>
      <c r="Y72" s="16">
        <v>115</v>
      </c>
      <c r="Z72" s="16">
        <v>169</v>
      </c>
      <c r="AB72" s="16">
        <v>70</v>
      </c>
      <c r="AC72" s="16">
        <v>57</v>
      </c>
      <c r="AD72" s="16">
        <v>400</v>
      </c>
    </row>
    <row r="73" spans="10:30" x14ac:dyDescent="0.15">
      <c r="J73" s="20">
        <v>0.33500000000000002</v>
      </c>
      <c r="T73" s="16">
        <v>0.67</v>
      </c>
      <c r="X73" s="16">
        <v>71</v>
      </c>
      <c r="Y73" s="16">
        <v>115</v>
      </c>
      <c r="Z73" s="16">
        <v>141</v>
      </c>
      <c r="AB73" s="16">
        <v>71</v>
      </c>
      <c r="AC73" s="16">
        <v>57</v>
      </c>
      <c r="AD73" s="16">
        <v>421</v>
      </c>
    </row>
    <row r="74" spans="10:30" x14ac:dyDescent="0.15">
      <c r="J74" s="20">
        <v>0.34</v>
      </c>
      <c r="T74" s="16">
        <v>0.68</v>
      </c>
      <c r="X74" s="16">
        <v>72</v>
      </c>
      <c r="Y74" s="16">
        <v>115</v>
      </c>
      <c r="Z74" s="16">
        <v>113</v>
      </c>
      <c r="AB74" s="16">
        <v>72</v>
      </c>
      <c r="AC74" s="16">
        <v>57</v>
      </c>
      <c r="AD74" s="16">
        <v>442</v>
      </c>
    </row>
    <row r="75" spans="10:30" x14ac:dyDescent="0.15">
      <c r="J75" s="20">
        <v>0.34499999999999997</v>
      </c>
      <c r="T75" s="16">
        <v>0.69</v>
      </c>
      <c r="X75" s="16">
        <v>73</v>
      </c>
      <c r="Y75" s="16">
        <v>115</v>
      </c>
      <c r="Z75" s="16">
        <v>85</v>
      </c>
      <c r="AB75" s="16">
        <v>73</v>
      </c>
      <c r="AC75" s="16">
        <v>57</v>
      </c>
      <c r="AD75" s="16">
        <v>463</v>
      </c>
    </row>
    <row r="76" spans="10:30" x14ac:dyDescent="0.15">
      <c r="J76" s="20">
        <v>0.35</v>
      </c>
      <c r="T76" s="16">
        <v>0.7</v>
      </c>
      <c r="X76" s="16">
        <v>74</v>
      </c>
      <c r="Y76" s="16">
        <v>115</v>
      </c>
      <c r="Z76" s="16">
        <v>57</v>
      </c>
      <c r="AB76" s="16">
        <v>74</v>
      </c>
      <c r="AC76" s="16">
        <v>57</v>
      </c>
      <c r="AD76" s="16">
        <v>484</v>
      </c>
    </row>
    <row r="77" spans="10:30" x14ac:dyDescent="0.15">
      <c r="J77" s="20">
        <v>0.35499999999999998</v>
      </c>
      <c r="T77" s="16">
        <v>0.71</v>
      </c>
      <c r="X77" s="16">
        <v>75</v>
      </c>
      <c r="Y77" s="16">
        <v>115</v>
      </c>
      <c r="Z77" s="16">
        <v>29</v>
      </c>
      <c r="AB77" s="16">
        <v>75</v>
      </c>
      <c r="AC77" s="16">
        <v>57</v>
      </c>
      <c r="AD77" s="16">
        <v>505</v>
      </c>
    </row>
    <row r="78" spans="10:30" x14ac:dyDescent="0.15">
      <c r="J78" s="20">
        <v>0.36</v>
      </c>
      <c r="T78" s="16">
        <v>0.72</v>
      </c>
      <c r="X78" s="16">
        <v>76</v>
      </c>
      <c r="Y78" s="16">
        <v>115</v>
      </c>
      <c r="Z78" s="16">
        <v>1</v>
      </c>
      <c r="AB78" s="16">
        <v>76</v>
      </c>
      <c r="AC78" s="16">
        <v>85</v>
      </c>
      <c r="AD78" s="16">
        <v>505</v>
      </c>
    </row>
    <row r="79" spans="10:30" x14ac:dyDescent="0.15">
      <c r="J79" s="20">
        <v>0.36499999999999999</v>
      </c>
      <c r="T79" s="16">
        <v>0.73</v>
      </c>
      <c r="X79" s="16">
        <v>77</v>
      </c>
      <c r="Y79" s="16">
        <v>153</v>
      </c>
      <c r="Z79" s="16">
        <v>1</v>
      </c>
      <c r="AB79" s="16">
        <v>77</v>
      </c>
      <c r="AC79" s="16">
        <v>85</v>
      </c>
      <c r="AD79" s="16">
        <v>484</v>
      </c>
    </row>
    <row r="80" spans="10:30" x14ac:dyDescent="0.15">
      <c r="J80" s="20">
        <v>0.37</v>
      </c>
      <c r="T80" s="16">
        <v>0.74</v>
      </c>
      <c r="X80" s="16">
        <v>78</v>
      </c>
      <c r="Y80" s="16">
        <v>153</v>
      </c>
      <c r="Z80" s="16">
        <v>29</v>
      </c>
      <c r="AB80" s="16">
        <v>78</v>
      </c>
      <c r="AC80" s="16">
        <v>85</v>
      </c>
      <c r="AD80" s="16">
        <v>463</v>
      </c>
    </row>
    <row r="81" spans="10:30" x14ac:dyDescent="0.15">
      <c r="J81" s="20">
        <v>0.375</v>
      </c>
      <c r="T81" s="16">
        <v>0.75</v>
      </c>
      <c r="X81" s="16">
        <v>79</v>
      </c>
      <c r="Y81" s="16">
        <v>153</v>
      </c>
      <c r="Z81" s="16">
        <v>57</v>
      </c>
      <c r="AB81" s="16">
        <v>79</v>
      </c>
      <c r="AC81" s="16">
        <v>85</v>
      </c>
      <c r="AD81" s="16">
        <v>442</v>
      </c>
    </row>
    <row r="82" spans="10:30" x14ac:dyDescent="0.15">
      <c r="J82" s="20">
        <v>0.38</v>
      </c>
      <c r="T82" s="16">
        <v>0.76</v>
      </c>
      <c r="X82" s="16">
        <v>80</v>
      </c>
      <c r="Y82" s="16">
        <v>153</v>
      </c>
      <c r="Z82" s="16">
        <v>85</v>
      </c>
      <c r="AB82" s="16">
        <v>80</v>
      </c>
      <c r="AC82" s="16">
        <v>85</v>
      </c>
      <c r="AD82" s="16">
        <v>421</v>
      </c>
    </row>
    <row r="83" spans="10:30" x14ac:dyDescent="0.15">
      <c r="J83" s="20">
        <v>0.38500000000000001</v>
      </c>
      <c r="T83" s="16">
        <v>0.77</v>
      </c>
      <c r="X83" s="16">
        <v>81</v>
      </c>
      <c r="Y83" s="16">
        <v>153</v>
      </c>
      <c r="Z83" s="16">
        <v>113</v>
      </c>
      <c r="AB83" s="16">
        <v>81</v>
      </c>
      <c r="AC83" s="16">
        <v>85</v>
      </c>
      <c r="AD83" s="16">
        <v>400</v>
      </c>
    </row>
    <row r="84" spans="10:30" x14ac:dyDescent="0.15">
      <c r="J84" s="20">
        <v>0.39</v>
      </c>
      <c r="T84" s="16">
        <v>0.78</v>
      </c>
      <c r="X84" s="16">
        <v>82</v>
      </c>
      <c r="Y84" s="16">
        <v>153</v>
      </c>
      <c r="Z84" s="16">
        <v>141</v>
      </c>
      <c r="AB84" s="16">
        <v>82</v>
      </c>
      <c r="AC84" s="16">
        <v>85</v>
      </c>
      <c r="AD84" s="16">
        <v>379</v>
      </c>
    </row>
    <row r="85" spans="10:30" x14ac:dyDescent="0.15">
      <c r="J85" s="20">
        <v>0.39500000000000002</v>
      </c>
      <c r="T85" s="16">
        <v>0.79</v>
      </c>
      <c r="X85" s="16">
        <v>83</v>
      </c>
      <c r="Y85" s="16">
        <v>153</v>
      </c>
      <c r="Z85" s="16">
        <v>169</v>
      </c>
      <c r="AB85" s="16">
        <v>83</v>
      </c>
      <c r="AC85" s="16">
        <v>85</v>
      </c>
      <c r="AD85" s="16">
        <v>358</v>
      </c>
    </row>
    <row r="86" spans="10:30" x14ac:dyDescent="0.15">
      <c r="J86" s="20">
        <v>0.4</v>
      </c>
      <c r="T86" s="16">
        <v>0.8</v>
      </c>
      <c r="X86" s="16">
        <v>84</v>
      </c>
      <c r="Y86" s="16">
        <v>153</v>
      </c>
      <c r="Z86" s="16">
        <v>197</v>
      </c>
      <c r="AB86" s="16">
        <v>84</v>
      </c>
      <c r="AC86" s="16">
        <v>85</v>
      </c>
      <c r="AD86" s="16">
        <v>337</v>
      </c>
    </row>
    <row r="87" spans="10:30" x14ac:dyDescent="0.15">
      <c r="J87" s="20">
        <v>0.40500000000000003</v>
      </c>
      <c r="T87" s="16">
        <v>0.81</v>
      </c>
      <c r="X87" s="16">
        <v>85</v>
      </c>
      <c r="Y87" s="16">
        <v>153</v>
      </c>
      <c r="Z87" s="16">
        <v>225</v>
      </c>
      <c r="AB87" s="16">
        <v>85</v>
      </c>
      <c r="AC87" s="16">
        <v>85</v>
      </c>
      <c r="AD87" s="16">
        <v>316</v>
      </c>
    </row>
    <row r="88" spans="10:30" x14ac:dyDescent="0.15">
      <c r="J88" s="20">
        <v>0.41</v>
      </c>
      <c r="T88" s="16">
        <v>0.82</v>
      </c>
      <c r="X88" s="16">
        <v>86</v>
      </c>
      <c r="Y88" s="16">
        <v>153</v>
      </c>
      <c r="Z88" s="16">
        <v>253</v>
      </c>
      <c r="AB88" s="16">
        <v>86</v>
      </c>
      <c r="AC88" s="16">
        <v>85</v>
      </c>
      <c r="AD88" s="16">
        <v>295</v>
      </c>
    </row>
    <row r="89" spans="10:30" x14ac:dyDescent="0.15">
      <c r="J89" s="20">
        <v>0.41499999999999998</v>
      </c>
      <c r="T89" s="16">
        <v>0.83</v>
      </c>
      <c r="X89" s="16">
        <v>87</v>
      </c>
      <c r="Y89" s="16">
        <v>153</v>
      </c>
      <c r="Z89" s="16">
        <v>281</v>
      </c>
      <c r="AB89" s="16">
        <v>87</v>
      </c>
      <c r="AC89" s="16">
        <v>85</v>
      </c>
      <c r="AD89" s="16">
        <v>274</v>
      </c>
    </row>
    <row r="90" spans="10:30" x14ac:dyDescent="0.15">
      <c r="J90" s="20">
        <v>0.42</v>
      </c>
      <c r="T90" s="16">
        <v>0.84</v>
      </c>
      <c r="X90" s="16">
        <v>88</v>
      </c>
      <c r="Y90" s="16">
        <v>153</v>
      </c>
      <c r="Z90" s="16">
        <v>309</v>
      </c>
      <c r="AB90" s="16">
        <v>88</v>
      </c>
      <c r="AC90" s="16">
        <v>85</v>
      </c>
      <c r="AD90" s="16">
        <v>253</v>
      </c>
    </row>
    <row r="91" spans="10:30" x14ac:dyDescent="0.15">
      <c r="J91" s="20">
        <v>0.42499999999999999</v>
      </c>
      <c r="T91" s="16">
        <v>0.85</v>
      </c>
      <c r="X91" s="16">
        <v>89</v>
      </c>
      <c r="Y91" s="16">
        <v>153</v>
      </c>
      <c r="Z91" s="16">
        <v>337</v>
      </c>
      <c r="AB91" s="16">
        <v>89</v>
      </c>
      <c r="AC91" s="16">
        <v>85</v>
      </c>
      <c r="AD91" s="16">
        <v>232</v>
      </c>
    </row>
    <row r="92" spans="10:30" x14ac:dyDescent="0.15">
      <c r="J92" s="20">
        <v>0.43</v>
      </c>
      <c r="T92" s="16">
        <v>0.86</v>
      </c>
      <c r="X92" s="16">
        <v>90</v>
      </c>
      <c r="Y92" s="16">
        <v>153</v>
      </c>
      <c r="Z92" s="16">
        <v>365</v>
      </c>
      <c r="AB92" s="16">
        <v>90</v>
      </c>
      <c r="AC92" s="16">
        <v>85</v>
      </c>
      <c r="AD92" s="16">
        <v>211</v>
      </c>
    </row>
    <row r="93" spans="10:30" x14ac:dyDescent="0.15">
      <c r="J93" s="20">
        <v>0.435</v>
      </c>
      <c r="T93" s="16">
        <v>0.87</v>
      </c>
      <c r="X93" s="16">
        <v>91</v>
      </c>
      <c r="Y93" s="16">
        <v>153</v>
      </c>
      <c r="Z93" s="16">
        <v>393</v>
      </c>
      <c r="AB93" s="16">
        <v>91</v>
      </c>
      <c r="AC93" s="16">
        <v>85</v>
      </c>
      <c r="AD93" s="16">
        <v>190</v>
      </c>
    </row>
    <row r="94" spans="10:30" x14ac:dyDescent="0.15">
      <c r="J94" s="20">
        <v>0.44</v>
      </c>
      <c r="T94" s="16">
        <v>0.88</v>
      </c>
      <c r="X94" s="16">
        <v>92</v>
      </c>
      <c r="Y94" s="16">
        <v>153</v>
      </c>
      <c r="Z94" s="16">
        <v>421</v>
      </c>
      <c r="AB94" s="16">
        <v>92</v>
      </c>
      <c r="AC94" s="16">
        <v>85</v>
      </c>
      <c r="AD94" s="16">
        <v>169</v>
      </c>
    </row>
    <row r="95" spans="10:30" x14ac:dyDescent="0.15">
      <c r="J95" s="20">
        <v>0.44500000000000001</v>
      </c>
      <c r="T95" s="16">
        <v>0.89</v>
      </c>
      <c r="X95" s="16">
        <v>93</v>
      </c>
      <c r="Y95" s="16">
        <v>153</v>
      </c>
      <c r="Z95" s="16">
        <v>449</v>
      </c>
      <c r="AB95" s="16">
        <v>93</v>
      </c>
      <c r="AC95" s="16">
        <v>85</v>
      </c>
      <c r="AD95" s="16">
        <v>148</v>
      </c>
    </row>
    <row r="96" spans="10:30" x14ac:dyDescent="0.15">
      <c r="J96" s="20">
        <v>0.45</v>
      </c>
      <c r="T96" s="16">
        <v>0.9</v>
      </c>
      <c r="X96" s="16">
        <v>94</v>
      </c>
      <c r="Y96" s="16">
        <v>153</v>
      </c>
      <c r="Z96" s="16">
        <v>477</v>
      </c>
      <c r="AB96" s="16">
        <v>94</v>
      </c>
      <c r="AC96" s="16">
        <v>85</v>
      </c>
      <c r="AD96" s="16">
        <v>127</v>
      </c>
    </row>
    <row r="97" spans="10:30" x14ac:dyDescent="0.15">
      <c r="J97" s="20">
        <v>0.45500000000000002</v>
      </c>
      <c r="T97" s="16">
        <v>0.91</v>
      </c>
      <c r="X97" s="16">
        <v>95</v>
      </c>
      <c r="Y97" s="16">
        <v>153</v>
      </c>
      <c r="Z97" s="16">
        <v>505</v>
      </c>
      <c r="AB97" s="16">
        <v>95</v>
      </c>
      <c r="AC97" s="16">
        <v>85</v>
      </c>
      <c r="AD97" s="16">
        <v>106</v>
      </c>
    </row>
    <row r="98" spans="10:30" x14ac:dyDescent="0.15">
      <c r="J98" s="20">
        <v>0.46</v>
      </c>
      <c r="T98" s="16">
        <v>0.92</v>
      </c>
      <c r="X98" s="16">
        <v>96</v>
      </c>
      <c r="Y98" s="16">
        <v>191</v>
      </c>
      <c r="Z98" s="16">
        <v>505</v>
      </c>
      <c r="AB98" s="16">
        <v>96</v>
      </c>
      <c r="AC98" s="16">
        <v>85</v>
      </c>
      <c r="AD98" s="16">
        <v>85</v>
      </c>
    </row>
    <row r="99" spans="10:30" x14ac:dyDescent="0.15">
      <c r="J99" s="20">
        <v>0.46500000000000002</v>
      </c>
      <c r="T99" s="16">
        <v>0.93</v>
      </c>
      <c r="X99" s="16">
        <v>97</v>
      </c>
      <c r="Y99" s="16">
        <v>191</v>
      </c>
      <c r="Z99" s="16">
        <v>477</v>
      </c>
      <c r="AB99" s="16">
        <v>97</v>
      </c>
      <c r="AC99" s="16">
        <v>85</v>
      </c>
      <c r="AD99" s="16">
        <v>64</v>
      </c>
    </row>
    <row r="100" spans="10:30" x14ac:dyDescent="0.15">
      <c r="J100" s="20">
        <v>0.47</v>
      </c>
      <c r="T100" s="16">
        <v>0.94</v>
      </c>
      <c r="X100" s="16">
        <v>98</v>
      </c>
      <c r="Y100" s="16">
        <v>191</v>
      </c>
      <c r="Z100" s="16">
        <v>449</v>
      </c>
      <c r="AB100" s="16">
        <v>98</v>
      </c>
      <c r="AC100" s="16">
        <v>85</v>
      </c>
      <c r="AD100" s="16">
        <v>43</v>
      </c>
    </row>
    <row r="101" spans="10:30" x14ac:dyDescent="0.15">
      <c r="J101" s="20">
        <v>0.47499999999999998</v>
      </c>
      <c r="T101" s="16">
        <v>0.95</v>
      </c>
      <c r="X101" s="16">
        <v>99</v>
      </c>
      <c r="Y101" s="16">
        <v>191</v>
      </c>
      <c r="Z101" s="16">
        <v>421</v>
      </c>
      <c r="AB101" s="16">
        <v>99</v>
      </c>
      <c r="AC101" s="16">
        <v>85</v>
      </c>
      <c r="AD101" s="16">
        <v>22</v>
      </c>
    </row>
    <row r="102" spans="10:30" x14ac:dyDescent="0.15">
      <c r="J102" s="20">
        <v>0.48</v>
      </c>
      <c r="T102" s="16">
        <v>0.96</v>
      </c>
      <c r="X102" s="16">
        <v>100</v>
      </c>
      <c r="Y102" s="16">
        <v>191</v>
      </c>
      <c r="Z102" s="16">
        <v>393</v>
      </c>
      <c r="AB102" s="16">
        <v>100</v>
      </c>
      <c r="AC102" s="16">
        <v>85</v>
      </c>
      <c r="AD102" s="16">
        <v>1</v>
      </c>
    </row>
    <row r="103" spans="10:30" x14ac:dyDescent="0.15">
      <c r="J103" s="20">
        <v>0.48499999999999999</v>
      </c>
      <c r="T103" s="16">
        <v>0.97</v>
      </c>
      <c r="X103" s="16">
        <v>101</v>
      </c>
      <c r="Y103" s="16">
        <v>191</v>
      </c>
      <c r="Z103" s="16">
        <v>365</v>
      </c>
      <c r="AB103" s="16">
        <v>101</v>
      </c>
      <c r="AC103" s="16">
        <v>113</v>
      </c>
      <c r="AD103" s="16">
        <v>1</v>
      </c>
    </row>
    <row r="104" spans="10:30" x14ac:dyDescent="0.15">
      <c r="J104" s="20">
        <v>0.49</v>
      </c>
      <c r="T104" s="16">
        <v>0.98</v>
      </c>
      <c r="X104" s="16">
        <v>102</v>
      </c>
      <c r="Y104" s="16">
        <v>191</v>
      </c>
      <c r="Z104" s="16">
        <v>337</v>
      </c>
      <c r="AB104" s="16">
        <v>102</v>
      </c>
      <c r="AC104" s="16">
        <v>113</v>
      </c>
      <c r="AD104" s="16">
        <v>22</v>
      </c>
    </row>
    <row r="105" spans="10:30" x14ac:dyDescent="0.15">
      <c r="J105" s="20">
        <v>0.495</v>
      </c>
      <c r="T105" s="16">
        <v>0.99</v>
      </c>
      <c r="X105" s="16">
        <v>103</v>
      </c>
      <c r="Y105" s="16">
        <v>191</v>
      </c>
      <c r="Z105" s="16">
        <v>309</v>
      </c>
      <c r="AB105" s="16">
        <v>103</v>
      </c>
      <c r="AC105" s="16">
        <v>113</v>
      </c>
      <c r="AD105" s="16">
        <v>43</v>
      </c>
    </row>
    <row r="106" spans="10:30" x14ac:dyDescent="0.15">
      <c r="J106" s="20">
        <v>0.5</v>
      </c>
      <c r="T106" s="16">
        <v>1</v>
      </c>
      <c r="X106" s="16">
        <v>104</v>
      </c>
      <c r="Y106" s="16">
        <v>191</v>
      </c>
      <c r="Z106" s="16">
        <v>281</v>
      </c>
      <c r="AB106" s="16">
        <v>104</v>
      </c>
      <c r="AC106" s="16">
        <v>113</v>
      </c>
      <c r="AD106" s="16">
        <v>64</v>
      </c>
    </row>
    <row r="107" spans="10:30" x14ac:dyDescent="0.15">
      <c r="J107" s="20">
        <v>0.505</v>
      </c>
      <c r="X107" s="16">
        <v>105</v>
      </c>
      <c r="Y107" s="16">
        <v>191</v>
      </c>
      <c r="Z107" s="16">
        <v>253</v>
      </c>
      <c r="AB107" s="16">
        <v>105</v>
      </c>
      <c r="AC107" s="16">
        <v>113</v>
      </c>
      <c r="AD107" s="16">
        <v>85</v>
      </c>
    </row>
    <row r="108" spans="10:30" x14ac:dyDescent="0.15">
      <c r="J108" s="20">
        <v>0.51</v>
      </c>
      <c r="X108" s="16">
        <v>106</v>
      </c>
      <c r="Y108" s="16">
        <v>191</v>
      </c>
      <c r="Z108" s="16">
        <v>225</v>
      </c>
      <c r="AB108" s="16">
        <v>106</v>
      </c>
      <c r="AC108" s="16">
        <v>113</v>
      </c>
      <c r="AD108" s="16">
        <v>106</v>
      </c>
    </row>
    <row r="109" spans="10:30" x14ac:dyDescent="0.15">
      <c r="J109" s="20">
        <v>0.51500000000000001</v>
      </c>
      <c r="X109" s="16">
        <v>107</v>
      </c>
      <c r="Y109" s="16">
        <v>191</v>
      </c>
      <c r="Z109" s="16">
        <v>197</v>
      </c>
      <c r="AB109" s="16">
        <v>107</v>
      </c>
      <c r="AC109" s="16">
        <v>113</v>
      </c>
      <c r="AD109" s="16">
        <v>127</v>
      </c>
    </row>
    <row r="110" spans="10:30" x14ac:dyDescent="0.15">
      <c r="J110" s="20">
        <v>0.52</v>
      </c>
      <c r="X110" s="16">
        <v>108</v>
      </c>
      <c r="Y110" s="16">
        <v>191</v>
      </c>
      <c r="Z110" s="16">
        <v>169</v>
      </c>
      <c r="AB110" s="16">
        <v>108</v>
      </c>
      <c r="AC110" s="16">
        <v>113</v>
      </c>
      <c r="AD110" s="16">
        <v>148</v>
      </c>
    </row>
    <row r="111" spans="10:30" x14ac:dyDescent="0.15">
      <c r="J111" s="20">
        <v>0.52500000000000002</v>
      </c>
      <c r="X111" s="16">
        <v>109</v>
      </c>
      <c r="Y111" s="16">
        <v>191</v>
      </c>
      <c r="Z111" s="16">
        <v>141</v>
      </c>
      <c r="AB111" s="16">
        <v>109</v>
      </c>
      <c r="AC111" s="16">
        <v>113</v>
      </c>
      <c r="AD111" s="16">
        <v>169</v>
      </c>
    </row>
    <row r="112" spans="10:30" x14ac:dyDescent="0.15">
      <c r="J112" s="20">
        <v>0.53</v>
      </c>
      <c r="X112" s="16">
        <v>110</v>
      </c>
      <c r="Y112" s="16">
        <v>191</v>
      </c>
      <c r="Z112" s="16">
        <v>113</v>
      </c>
      <c r="AB112" s="16">
        <v>110</v>
      </c>
      <c r="AC112" s="16">
        <v>113</v>
      </c>
      <c r="AD112" s="16">
        <v>190</v>
      </c>
    </row>
    <row r="113" spans="10:30" x14ac:dyDescent="0.15">
      <c r="J113" s="20">
        <v>0.53500000000000003</v>
      </c>
      <c r="X113" s="16">
        <v>111</v>
      </c>
      <c r="Y113" s="16">
        <v>191</v>
      </c>
      <c r="Z113" s="16">
        <v>85</v>
      </c>
      <c r="AB113" s="16">
        <v>111</v>
      </c>
      <c r="AC113" s="16">
        <v>113</v>
      </c>
      <c r="AD113" s="16">
        <v>211</v>
      </c>
    </row>
    <row r="114" spans="10:30" x14ac:dyDescent="0.15">
      <c r="J114" s="20">
        <v>0.54</v>
      </c>
      <c r="X114" s="16">
        <v>112</v>
      </c>
      <c r="Y114" s="16">
        <v>191</v>
      </c>
      <c r="Z114" s="16">
        <v>57</v>
      </c>
      <c r="AB114" s="16">
        <v>112</v>
      </c>
      <c r="AC114" s="16">
        <v>113</v>
      </c>
      <c r="AD114" s="16">
        <v>232</v>
      </c>
    </row>
    <row r="115" spans="10:30" x14ac:dyDescent="0.15">
      <c r="J115" s="20">
        <v>0.54500000000000004</v>
      </c>
      <c r="X115" s="16">
        <v>113</v>
      </c>
      <c r="Y115" s="16">
        <v>191</v>
      </c>
      <c r="Z115" s="16">
        <v>29</v>
      </c>
      <c r="AB115" s="16">
        <v>113</v>
      </c>
      <c r="AC115" s="16">
        <v>113</v>
      </c>
      <c r="AD115" s="16">
        <v>253</v>
      </c>
    </row>
    <row r="116" spans="10:30" x14ac:dyDescent="0.15">
      <c r="J116" s="20">
        <v>0.55000000000000004</v>
      </c>
      <c r="X116" s="16">
        <v>114</v>
      </c>
      <c r="Y116" s="16">
        <v>191</v>
      </c>
      <c r="Z116" s="16">
        <v>1</v>
      </c>
      <c r="AB116" s="16">
        <v>114</v>
      </c>
      <c r="AC116" s="16">
        <v>113</v>
      </c>
      <c r="AD116" s="16">
        <v>274</v>
      </c>
    </row>
    <row r="117" spans="10:30" x14ac:dyDescent="0.15">
      <c r="J117" s="20">
        <v>0.55500000000000005</v>
      </c>
      <c r="X117" s="16">
        <v>115</v>
      </c>
      <c r="Y117" s="16">
        <v>229</v>
      </c>
      <c r="Z117" s="16">
        <v>1</v>
      </c>
      <c r="AB117" s="16">
        <v>115</v>
      </c>
      <c r="AC117" s="16">
        <v>113</v>
      </c>
      <c r="AD117" s="16">
        <v>295</v>
      </c>
    </row>
    <row r="118" spans="10:30" x14ac:dyDescent="0.15">
      <c r="J118" s="20">
        <v>0.56000000000000005</v>
      </c>
      <c r="X118" s="16">
        <v>116</v>
      </c>
      <c r="Y118" s="16">
        <v>229</v>
      </c>
      <c r="Z118" s="16">
        <v>29</v>
      </c>
      <c r="AB118" s="16">
        <v>116</v>
      </c>
      <c r="AC118" s="16">
        <v>113</v>
      </c>
      <c r="AD118" s="16">
        <v>316</v>
      </c>
    </row>
    <row r="119" spans="10:30" x14ac:dyDescent="0.15">
      <c r="J119" s="20">
        <v>0.56499999999999995</v>
      </c>
      <c r="X119" s="16">
        <v>117</v>
      </c>
      <c r="Y119" s="16">
        <v>229</v>
      </c>
      <c r="Z119" s="16">
        <v>57</v>
      </c>
      <c r="AB119" s="16">
        <v>117</v>
      </c>
      <c r="AC119" s="16">
        <v>113</v>
      </c>
      <c r="AD119" s="16">
        <v>337</v>
      </c>
    </row>
    <row r="120" spans="10:30" x14ac:dyDescent="0.15">
      <c r="J120" s="20">
        <v>0.56999999999999995</v>
      </c>
      <c r="X120" s="16">
        <v>118</v>
      </c>
      <c r="Y120" s="16">
        <v>229</v>
      </c>
      <c r="Z120" s="16">
        <v>85</v>
      </c>
      <c r="AB120" s="16">
        <v>118</v>
      </c>
      <c r="AC120" s="16">
        <v>113</v>
      </c>
      <c r="AD120" s="16">
        <v>358</v>
      </c>
    </row>
    <row r="121" spans="10:30" x14ac:dyDescent="0.15">
      <c r="J121" s="20">
        <v>0.57499999999999996</v>
      </c>
      <c r="X121" s="16">
        <v>119</v>
      </c>
      <c r="Y121" s="16">
        <v>229</v>
      </c>
      <c r="Z121" s="16">
        <v>113</v>
      </c>
      <c r="AB121" s="16">
        <v>119</v>
      </c>
      <c r="AC121" s="16">
        <v>113</v>
      </c>
      <c r="AD121" s="16">
        <v>379</v>
      </c>
    </row>
    <row r="122" spans="10:30" x14ac:dyDescent="0.15">
      <c r="J122" s="20">
        <v>0.57999999999999996</v>
      </c>
      <c r="X122" s="16">
        <v>120</v>
      </c>
      <c r="Y122" s="16">
        <v>229</v>
      </c>
      <c r="Z122" s="16">
        <v>141</v>
      </c>
      <c r="AB122" s="16">
        <v>120</v>
      </c>
      <c r="AC122" s="16">
        <v>113</v>
      </c>
      <c r="AD122" s="16">
        <v>400</v>
      </c>
    </row>
    <row r="123" spans="10:30" x14ac:dyDescent="0.15">
      <c r="J123" s="20">
        <v>0.58499999999999996</v>
      </c>
      <c r="X123" s="16">
        <v>121</v>
      </c>
      <c r="Y123" s="16">
        <v>229</v>
      </c>
      <c r="Z123" s="16">
        <v>169</v>
      </c>
      <c r="AB123" s="16">
        <v>121</v>
      </c>
      <c r="AC123" s="16">
        <v>113</v>
      </c>
      <c r="AD123" s="16">
        <v>421</v>
      </c>
    </row>
    <row r="124" spans="10:30" x14ac:dyDescent="0.15">
      <c r="J124" s="20">
        <v>0.59</v>
      </c>
      <c r="X124" s="16">
        <v>122</v>
      </c>
      <c r="Y124" s="16">
        <v>229</v>
      </c>
      <c r="Z124" s="16">
        <v>197</v>
      </c>
      <c r="AB124" s="16">
        <v>122</v>
      </c>
      <c r="AC124" s="16">
        <v>113</v>
      </c>
      <c r="AD124" s="16">
        <v>442</v>
      </c>
    </row>
    <row r="125" spans="10:30" x14ac:dyDescent="0.15">
      <c r="J125" s="20">
        <v>0.59499999999999997</v>
      </c>
      <c r="X125" s="16">
        <v>123</v>
      </c>
      <c r="Y125" s="16">
        <v>229</v>
      </c>
      <c r="Z125" s="16">
        <v>225</v>
      </c>
      <c r="AB125" s="16">
        <v>123</v>
      </c>
      <c r="AC125" s="16">
        <v>113</v>
      </c>
      <c r="AD125" s="16">
        <v>463</v>
      </c>
    </row>
    <row r="126" spans="10:30" x14ac:dyDescent="0.15">
      <c r="J126" s="20">
        <v>0.6</v>
      </c>
      <c r="X126" s="16">
        <v>124</v>
      </c>
      <c r="Y126" s="16">
        <v>229</v>
      </c>
      <c r="Z126" s="16">
        <v>253</v>
      </c>
      <c r="AB126" s="16">
        <v>124</v>
      </c>
      <c r="AC126" s="16">
        <v>113</v>
      </c>
      <c r="AD126" s="16">
        <v>484</v>
      </c>
    </row>
    <row r="127" spans="10:30" x14ac:dyDescent="0.15">
      <c r="J127" s="20">
        <v>0.60499999999999998</v>
      </c>
      <c r="X127" s="16">
        <v>125</v>
      </c>
      <c r="Y127" s="16">
        <v>229</v>
      </c>
      <c r="Z127" s="16">
        <v>281</v>
      </c>
      <c r="AB127" s="16">
        <v>125</v>
      </c>
      <c r="AC127" s="16">
        <v>113</v>
      </c>
      <c r="AD127" s="16">
        <v>505</v>
      </c>
    </row>
    <row r="128" spans="10:30" x14ac:dyDescent="0.15">
      <c r="J128" s="20">
        <v>0.61</v>
      </c>
      <c r="X128" s="16">
        <v>126</v>
      </c>
      <c r="Y128" s="16">
        <v>229</v>
      </c>
      <c r="Z128" s="16">
        <v>309</v>
      </c>
      <c r="AB128" s="16">
        <v>126</v>
      </c>
      <c r="AC128" s="16">
        <v>141</v>
      </c>
      <c r="AD128" s="16">
        <v>505</v>
      </c>
    </row>
    <row r="129" spans="10:30" x14ac:dyDescent="0.15">
      <c r="J129" s="20">
        <v>0.61499999999999999</v>
      </c>
      <c r="X129" s="16">
        <v>127</v>
      </c>
      <c r="Y129" s="16">
        <v>229</v>
      </c>
      <c r="Z129" s="16">
        <v>337</v>
      </c>
      <c r="AB129" s="16">
        <v>127</v>
      </c>
      <c r="AC129" s="16">
        <v>141</v>
      </c>
      <c r="AD129" s="16">
        <v>484</v>
      </c>
    </row>
    <row r="130" spans="10:30" x14ac:dyDescent="0.15">
      <c r="J130" s="20">
        <v>0.62</v>
      </c>
      <c r="X130" s="16">
        <v>128</v>
      </c>
      <c r="Y130" s="16">
        <v>229</v>
      </c>
      <c r="Z130" s="16">
        <v>365</v>
      </c>
      <c r="AB130" s="16">
        <v>128</v>
      </c>
      <c r="AC130" s="16">
        <v>141</v>
      </c>
      <c r="AD130" s="16">
        <v>463</v>
      </c>
    </row>
    <row r="131" spans="10:30" x14ac:dyDescent="0.15">
      <c r="J131" s="20">
        <v>0.625</v>
      </c>
      <c r="X131" s="16">
        <v>129</v>
      </c>
      <c r="Y131" s="16">
        <v>229</v>
      </c>
      <c r="Z131" s="16">
        <v>393</v>
      </c>
      <c r="AB131" s="16">
        <v>129</v>
      </c>
      <c r="AC131" s="16">
        <v>141</v>
      </c>
      <c r="AD131" s="16">
        <v>442</v>
      </c>
    </row>
    <row r="132" spans="10:30" x14ac:dyDescent="0.15">
      <c r="J132" s="20">
        <v>0.63</v>
      </c>
      <c r="X132" s="16">
        <v>130</v>
      </c>
      <c r="Y132" s="16">
        <v>229</v>
      </c>
      <c r="Z132" s="16">
        <v>421</v>
      </c>
      <c r="AB132" s="16">
        <v>130</v>
      </c>
      <c r="AC132" s="16">
        <v>141</v>
      </c>
      <c r="AD132" s="16">
        <v>421</v>
      </c>
    </row>
    <row r="133" spans="10:30" x14ac:dyDescent="0.15">
      <c r="J133" s="20">
        <v>0.63500000000000001</v>
      </c>
      <c r="X133" s="16">
        <v>131</v>
      </c>
      <c r="Y133" s="16">
        <v>229</v>
      </c>
      <c r="Z133" s="16">
        <v>449</v>
      </c>
      <c r="AB133" s="16">
        <v>131</v>
      </c>
      <c r="AC133" s="16">
        <v>141</v>
      </c>
      <c r="AD133" s="16">
        <v>400</v>
      </c>
    </row>
    <row r="134" spans="10:30" x14ac:dyDescent="0.15">
      <c r="J134" s="20">
        <v>0.64</v>
      </c>
      <c r="X134" s="16">
        <v>132</v>
      </c>
      <c r="Y134" s="16">
        <v>229</v>
      </c>
      <c r="Z134" s="16">
        <v>477</v>
      </c>
      <c r="AB134" s="16">
        <v>132</v>
      </c>
      <c r="AC134" s="16">
        <v>141</v>
      </c>
      <c r="AD134" s="16">
        <v>379</v>
      </c>
    </row>
    <row r="135" spans="10:30" x14ac:dyDescent="0.15">
      <c r="J135" s="20">
        <v>0.64500000000000002</v>
      </c>
      <c r="X135" s="16">
        <v>133</v>
      </c>
      <c r="Y135" s="16">
        <v>229</v>
      </c>
      <c r="Z135" s="16">
        <v>505</v>
      </c>
      <c r="AB135" s="16">
        <v>133</v>
      </c>
      <c r="AC135" s="16">
        <v>141</v>
      </c>
      <c r="AD135" s="16">
        <v>358</v>
      </c>
    </row>
    <row r="136" spans="10:30" x14ac:dyDescent="0.15">
      <c r="J136" s="20">
        <v>0.65</v>
      </c>
      <c r="X136" s="16">
        <v>134</v>
      </c>
      <c r="Y136" s="16">
        <v>267</v>
      </c>
      <c r="Z136" s="16">
        <v>505</v>
      </c>
      <c r="AB136" s="16">
        <v>134</v>
      </c>
      <c r="AC136" s="16">
        <v>141</v>
      </c>
      <c r="AD136" s="16">
        <v>337</v>
      </c>
    </row>
    <row r="137" spans="10:30" x14ac:dyDescent="0.15">
      <c r="J137" s="20">
        <v>0.65500000000000003</v>
      </c>
      <c r="X137" s="16">
        <v>135</v>
      </c>
      <c r="Y137" s="16">
        <v>267</v>
      </c>
      <c r="Z137" s="16">
        <v>477</v>
      </c>
      <c r="AB137" s="16">
        <v>135</v>
      </c>
      <c r="AC137" s="16">
        <v>141</v>
      </c>
      <c r="AD137" s="16">
        <v>316</v>
      </c>
    </row>
    <row r="138" spans="10:30" x14ac:dyDescent="0.15">
      <c r="J138" s="20">
        <v>0.66</v>
      </c>
      <c r="X138" s="16">
        <v>136</v>
      </c>
      <c r="Y138" s="16">
        <v>267</v>
      </c>
      <c r="Z138" s="16">
        <v>449</v>
      </c>
      <c r="AB138" s="16">
        <v>136</v>
      </c>
      <c r="AC138" s="16">
        <v>141</v>
      </c>
      <c r="AD138" s="16">
        <v>295</v>
      </c>
    </row>
    <row r="139" spans="10:30" x14ac:dyDescent="0.15">
      <c r="J139" s="20">
        <v>0.66500000000000004</v>
      </c>
      <c r="X139" s="16">
        <v>137</v>
      </c>
      <c r="Y139" s="16">
        <v>267</v>
      </c>
      <c r="Z139" s="16">
        <v>421</v>
      </c>
      <c r="AB139" s="16">
        <v>137</v>
      </c>
      <c r="AC139" s="16">
        <v>141</v>
      </c>
      <c r="AD139" s="16">
        <v>274</v>
      </c>
    </row>
    <row r="140" spans="10:30" x14ac:dyDescent="0.15">
      <c r="J140" s="20">
        <v>0.67</v>
      </c>
      <c r="X140" s="16">
        <v>138</v>
      </c>
      <c r="Y140" s="16">
        <v>267</v>
      </c>
      <c r="Z140" s="16">
        <v>393</v>
      </c>
      <c r="AB140" s="16">
        <v>138</v>
      </c>
      <c r="AC140" s="16">
        <v>141</v>
      </c>
      <c r="AD140" s="16">
        <v>253</v>
      </c>
    </row>
    <row r="141" spans="10:30" x14ac:dyDescent="0.15">
      <c r="J141" s="20">
        <v>0.67500000000000004</v>
      </c>
      <c r="X141" s="16">
        <v>139</v>
      </c>
      <c r="Y141" s="16">
        <v>267</v>
      </c>
      <c r="Z141" s="16">
        <v>365</v>
      </c>
      <c r="AB141" s="16">
        <v>139</v>
      </c>
      <c r="AC141" s="16">
        <v>141</v>
      </c>
      <c r="AD141" s="16">
        <v>232</v>
      </c>
    </row>
    <row r="142" spans="10:30" x14ac:dyDescent="0.15">
      <c r="J142" s="20">
        <v>0.68</v>
      </c>
      <c r="X142" s="16">
        <v>140</v>
      </c>
      <c r="Y142" s="16">
        <v>267</v>
      </c>
      <c r="Z142" s="16">
        <v>337</v>
      </c>
      <c r="AB142" s="16">
        <v>140</v>
      </c>
      <c r="AC142" s="16">
        <v>141</v>
      </c>
      <c r="AD142" s="16">
        <v>211</v>
      </c>
    </row>
    <row r="143" spans="10:30" x14ac:dyDescent="0.15">
      <c r="J143" s="20">
        <v>0.68500000000000005</v>
      </c>
      <c r="X143" s="16">
        <v>141</v>
      </c>
      <c r="Y143" s="16">
        <v>267</v>
      </c>
      <c r="Z143" s="16">
        <v>309</v>
      </c>
      <c r="AB143" s="16">
        <v>141</v>
      </c>
      <c r="AC143" s="16">
        <v>141</v>
      </c>
      <c r="AD143" s="16">
        <v>190</v>
      </c>
    </row>
    <row r="144" spans="10:30" x14ac:dyDescent="0.15">
      <c r="J144" s="20">
        <v>0.69</v>
      </c>
      <c r="X144" s="16">
        <v>142</v>
      </c>
      <c r="Y144" s="16">
        <v>267</v>
      </c>
      <c r="Z144" s="16">
        <v>281</v>
      </c>
      <c r="AB144" s="16">
        <v>142</v>
      </c>
      <c r="AC144" s="16">
        <v>141</v>
      </c>
      <c r="AD144" s="16">
        <v>169</v>
      </c>
    </row>
    <row r="145" spans="10:30" x14ac:dyDescent="0.15">
      <c r="J145" s="20">
        <v>0.69499999999999995</v>
      </c>
      <c r="X145" s="16">
        <v>143</v>
      </c>
      <c r="Y145" s="16">
        <v>267</v>
      </c>
      <c r="Z145" s="16">
        <v>253</v>
      </c>
      <c r="AB145" s="16">
        <v>143</v>
      </c>
      <c r="AC145" s="16">
        <v>141</v>
      </c>
      <c r="AD145" s="16">
        <v>148</v>
      </c>
    </row>
    <row r="146" spans="10:30" x14ac:dyDescent="0.15">
      <c r="J146" s="20">
        <v>0.7</v>
      </c>
      <c r="X146" s="16">
        <v>144</v>
      </c>
      <c r="Y146" s="16">
        <v>267</v>
      </c>
      <c r="Z146" s="16">
        <v>225</v>
      </c>
      <c r="AB146" s="16">
        <v>144</v>
      </c>
      <c r="AC146" s="16">
        <v>141</v>
      </c>
      <c r="AD146" s="16">
        <v>127</v>
      </c>
    </row>
    <row r="147" spans="10:30" x14ac:dyDescent="0.15">
      <c r="J147" s="20">
        <v>0.70499999999999996</v>
      </c>
      <c r="X147" s="16">
        <v>145</v>
      </c>
      <c r="Y147" s="16">
        <v>267</v>
      </c>
      <c r="Z147" s="16">
        <v>197</v>
      </c>
      <c r="AB147" s="16">
        <v>145</v>
      </c>
      <c r="AC147" s="16">
        <v>141</v>
      </c>
      <c r="AD147" s="16">
        <v>106</v>
      </c>
    </row>
    <row r="148" spans="10:30" x14ac:dyDescent="0.15">
      <c r="J148" s="20">
        <v>0.71</v>
      </c>
      <c r="X148" s="16">
        <v>146</v>
      </c>
      <c r="Y148" s="16">
        <v>267</v>
      </c>
      <c r="Z148" s="16">
        <v>169</v>
      </c>
      <c r="AB148" s="16">
        <v>146</v>
      </c>
      <c r="AC148" s="16">
        <v>141</v>
      </c>
      <c r="AD148" s="16">
        <v>85</v>
      </c>
    </row>
    <row r="149" spans="10:30" x14ac:dyDescent="0.15">
      <c r="J149" s="20">
        <v>0.71499999999999997</v>
      </c>
      <c r="X149" s="16">
        <v>147</v>
      </c>
      <c r="Y149" s="16">
        <v>267</v>
      </c>
      <c r="Z149" s="16">
        <v>141</v>
      </c>
      <c r="AB149" s="16">
        <v>147</v>
      </c>
      <c r="AC149" s="16">
        <v>141</v>
      </c>
      <c r="AD149" s="16">
        <v>64</v>
      </c>
    </row>
    <row r="150" spans="10:30" x14ac:dyDescent="0.15">
      <c r="J150" s="20">
        <v>0.72</v>
      </c>
      <c r="X150" s="16">
        <v>148</v>
      </c>
      <c r="Y150" s="16">
        <v>267</v>
      </c>
      <c r="Z150" s="16">
        <v>113</v>
      </c>
      <c r="AB150" s="16">
        <v>148</v>
      </c>
      <c r="AC150" s="16">
        <v>141</v>
      </c>
      <c r="AD150" s="16">
        <v>43</v>
      </c>
    </row>
    <row r="151" spans="10:30" x14ac:dyDescent="0.15">
      <c r="J151" s="20">
        <v>0.72499999999999998</v>
      </c>
      <c r="X151" s="16">
        <v>149</v>
      </c>
      <c r="Y151" s="16">
        <v>267</v>
      </c>
      <c r="Z151" s="16">
        <v>85</v>
      </c>
      <c r="AB151" s="16">
        <v>149</v>
      </c>
      <c r="AC151" s="16">
        <v>141</v>
      </c>
      <c r="AD151" s="16">
        <v>22</v>
      </c>
    </row>
    <row r="152" spans="10:30" x14ac:dyDescent="0.15">
      <c r="J152" s="20">
        <v>0.73</v>
      </c>
      <c r="X152" s="16">
        <v>150</v>
      </c>
      <c r="Y152" s="16">
        <v>267</v>
      </c>
      <c r="Z152" s="16">
        <v>57</v>
      </c>
      <c r="AB152" s="16">
        <v>150</v>
      </c>
      <c r="AC152" s="16">
        <v>141</v>
      </c>
      <c r="AD152" s="16">
        <v>1</v>
      </c>
    </row>
    <row r="153" spans="10:30" x14ac:dyDescent="0.15">
      <c r="J153" s="20">
        <v>0.73499999999999999</v>
      </c>
      <c r="X153" s="16">
        <v>151</v>
      </c>
      <c r="Y153" s="16">
        <v>267</v>
      </c>
      <c r="Z153" s="16">
        <v>29</v>
      </c>
      <c r="AB153" s="16">
        <v>151</v>
      </c>
      <c r="AC153" s="16">
        <v>169</v>
      </c>
      <c r="AD153" s="16">
        <v>1</v>
      </c>
    </row>
    <row r="154" spans="10:30" x14ac:dyDescent="0.15">
      <c r="J154" s="20">
        <v>0.74</v>
      </c>
      <c r="X154" s="16">
        <v>152</v>
      </c>
      <c r="Y154" s="16">
        <v>267</v>
      </c>
      <c r="Z154" s="16">
        <v>1</v>
      </c>
      <c r="AB154" s="16">
        <v>152</v>
      </c>
      <c r="AC154" s="16">
        <v>169</v>
      </c>
      <c r="AD154" s="16">
        <v>22</v>
      </c>
    </row>
    <row r="155" spans="10:30" x14ac:dyDescent="0.15">
      <c r="J155" s="20">
        <v>0.745</v>
      </c>
      <c r="X155" s="16">
        <v>153</v>
      </c>
      <c r="Y155" s="16">
        <v>305</v>
      </c>
      <c r="Z155" s="16">
        <v>1</v>
      </c>
      <c r="AB155" s="16">
        <v>153</v>
      </c>
      <c r="AC155" s="16">
        <v>169</v>
      </c>
      <c r="AD155" s="16">
        <v>43</v>
      </c>
    </row>
    <row r="156" spans="10:30" x14ac:dyDescent="0.15">
      <c r="J156" s="20">
        <v>0.75</v>
      </c>
      <c r="X156" s="16">
        <v>154</v>
      </c>
      <c r="Y156" s="16">
        <v>305</v>
      </c>
      <c r="Z156" s="16">
        <v>29</v>
      </c>
      <c r="AB156" s="16">
        <v>154</v>
      </c>
      <c r="AC156" s="16">
        <v>169</v>
      </c>
      <c r="AD156" s="16">
        <v>64</v>
      </c>
    </row>
    <row r="157" spans="10:30" x14ac:dyDescent="0.15">
      <c r="J157" s="20">
        <v>0.755</v>
      </c>
      <c r="X157" s="16">
        <v>155</v>
      </c>
      <c r="Y157" s="16">
        <v>305</v>
      </c>
      <c r="Z157" s="16">
        <v>57</v>
      </c>
      <c r="AB157" s="16">
        <v>155</v>
      </c>
      <c r="AC157" s="16">
        <v>169</v>
      </c>
      <c r="AD157" s="16">
        <v>85</v>
      </c>
    </row>
    <row r="158" spans="10:30" x14ac:dyDescent="0.15">
      <c r="J158" s="20">
        <v>0.76</v>
      </c>
      <c r="X158" s="16">
        <v>156</v>
      </c>
      <c r="Y158" s="16">
        <v>305</v>
      </c>
      <c r="Z158" s="16">
        <v>85</v>
      </c>
      <c r="AB158" s="16">
        <v>156</v>
      </c>
      <c r="AC158" s="16">
        <v>169</v>
      </c>
      <c r="AD158" s="16">
        <v>106</v>
      </c>
    </row>
    <row r="159" spans="10:30" x14ac:dyDescent="0.15">
      <c r="J159" s="20">
        <v>0.76500000000000001</v>
      </c>
      <c r="X159" s="16">
        <v>157</v>
      </c>
      <c r="Y159" s="16">
        <v>305</v>
      </c>
      <c r="Z159" s="16">
        <v>113</v>
      </c>
      <c r="AB159" s="16">
        <v>157</v>
      </c>
      <c r="AC159" s="16">
        <v>169</v>
      </c>
      <c r="AD159" s="16">
        <v>127</v>
      </c>
    </row>
    <row r="160" spans="10:30" x14ac:dyDescent="0.15">
      <c r="J160" s="20">
        <v>0.77</v>
      </c>
      <c r="X160" s="16">
        <v>158</v>
      </c>
      <c r="Y160" s="16">
        <v>305</v>
      </c>
      <c r="Z160" s="16">
        <v>141</v>
      </c>
      <c r="AB160" s="16">
        <v>158</v>
      </c>
      <c r="AC160" s="16">
        <v>169</v>
      </c>
      <c r="AD160" s="16">
        <v>148</v>
      </c>
    </row>
    <row r="161" spans="10:30" x14ac:dyDescent="0.15">
      <c r="J161" s="20">
        <v>0.77500000000000002</v>
      </c>
      <c r="X161" s="16">
        <v>159</v>
      </c>
      <c r="Y161" s="16">
        <v>305</v>
      </c>
      <c r="Z161" s="16">
        <v>169</v>
      </c>
      <c r="AB161" s="16">
        <v>159</v>
      </c>
      <c r="AC161" s="16">
        <v>169</v>
      </c>
      <c r="AD161" s="16">
        <v>169</v>
      </c>
    </row>
    <row r="162" spans="10:30" x14ac:dyDescent="0.15">
      <c r="J162" s="20">
        <v>0.78</v>
      </c>
      <c r="X162" s="16">
        <v>160</v>
      </c>
      <c r="Y162" s="16">
        <v>305</v>
      </c>
      <c r="Z162" s="16">
        <v>197</v>
      </c>
      <c r="AB162" s="16">
        <v>160</v>
      </c>
      <c r="AC162" s="16">
        <v>169</v>
      </c>
      <c r="AD162" s="16">
        <v>190</v>
      </c>
    </row>
    <row r="163" spans="10:30" x14ac:dyDescent="0.15">
      <c r="J163" s="20">
        <v>0.78500000000000003</v>
      </c>
      <c r="X163" s="16">
        <v>161</v>
      </c>
      <c r="Y163" s="16">
        <v>305</v>
      </c>
      <c r="Z163" s="16">
        <v>225</v>
      </c>
      <c r="AB163" s="16">
        <v>161</v>
      </c>
      <c r="AC163" s="16">
        <v>169</v>
      </c>
      <c r="AD163" s="16">
        <v>211</v>
      </c>
    </row>
    <row r="164" spans="10:30" x14ac:dyDescent="0.15">
      <c r="J164" s="20">
        <v>0.79</v>
      </c>
      <c r="X164" s="16">
        <v>162</v>
      </c>
      <c r="Y164" s="16">
        <v>305</v>
      </c>
      <c r="Z164" s="16">
        <v>253</v>
      </c>
      <c r="AB164" s="16">
        <v>162</v>
      </c>
      <c r="AC164" s="16">
        <v>169</v>
      </c>
      <c r="AD164" s="16">
        <v>232</v>
      </c>
    </row>
    <row r="165" spans="10:30" x14ac:dyDescent="0.15">
      <c r="J165" s="20">
        <v>0.79500000000000004</v>
      </c>
      <c r="X165" s="16">
        <v>163</v>
      </c>
      <c r="Y165" s="16">
        <v>305</v>
      </c>
      <c r="Z165" s="16">
        <v>281</v>
      </c>
      <c r="AB165" s="16">
        <v>163</v>
      </c>
      <c r="AC165" s="16">
        <v>169</v>
      </c>
      <c r="AD165" s="16">
        <v>253</v>
      </c>
    </row>
    <row r="166" spans="10:30" x14ac:dyDescent="0.15">
      <c r="J166" s="20">
        <v>0.8</v>
      </c>
      <c r="X166" s="16">
        <v>164</v>
      </c>
      <c r="Y166" s="16">
        <v>305</v>
      </c>
      <c r="Z166" s="16">
        <v>309</v>
      </c>
      <c r="AB166" s="16">
        <v>164</v>
      </c>
      <c r="AC166" s="16">
        <v>169</v>
      </c>
      <c r="AD166" s="16">
        <v>274</v>
      </c>
    </row>
    <row r="167" spans="10:30" x14ac:dyDescent="0.15">
      <c r="J167" s="20">
        <v>0.80500000000000005</v>
      </c>
      <c r="X167" s="16">
        <v>165</v>
      </c>
      <c r="Y167" s="16">
        <v>305</v>
      </c>
      <c r="Z167" s="16">
        <v>337</v>
      </c>
      <c r="AB167" s="16">
        <v>165</v>
      </c>
      <c r="AC167" s="16">
        <v>169</v>
      </c>
      <c r="AD167" s="16">
        <v>295</v>
      </c>
    </row>
    <row r="168" spans="10:30" x14ac:dyDescent="0.15">
      <c r="J168" s="20">
        <v>0.81</v>
      </c>
      <c r="X168" s="16">
        <v>166</v>
      </c>
      <c r="Y168" s="16">
        <v>305</v>
      </c>
      <c r="Z168" s="16">
        <v>365</v>
      </c>
      <c r="AB168" s="16">
        <v>166</v>
      </c>
      <c r="AC168" s="16">
        <v>169</v>
      </c>
      <c r="AD168" s="16">
        <v>316</v>
      </c>
    </row>
    <row r="169" spans="10:30" x14ac:dyDescent="0.15">
      <c r="J169" s="20">
        <v>0.81499999999999995</v>
      </c>
      <c r="X169" s="16">
        <v>167</v>
      </c>
      <c r="Y169" s="16">
        <v>305</v>
      </c>
      <c r="Z169" s="16">
        <v>393</v>
      </c>
      <c r="AB169" s="16">
        <v>167</v>
      </c>
      <c r="AC169" s="16">
        <v>169</v>
      </c>
      <c r="AD169" s="16">
        <v>337</v>
      </c>
    </row>
    <row r="170" spans="10:30" x14ac:dyDescent="0.15">
      <c r="J170" s="20">
        <v>0.82</v>
      </c>
      <c r="X170" s="16">
        <v>168</v>
      </c>
      <c r="Y170" s="16">
        <v>305</v>
      </c>
      <c r="Z170" s="16">
        <v>421</v>
      </c>
      <c r="AB170" s="16">
        <v>168</v>
      </c>
      <c r="AC170" s="16">
        <v>169</v>
      </c>
      <c r="AD170" s="16">
        <v>358</v>
      </c>
    </row>
    <row r="171" spans="10:30" x14ac:dyDescent="0.15">
      <c r="J171" s="20">
        <v>0.82499999999999996</v>
      </c>
      <c r="X171" s="16">
        <v>169</v>
      </c>
      <c r="Y171" s="16">
        <v>305</v>
      </c>
      <c r="Z171" s="16">
        <v>449</v>
      </c>
      <c r="AB171" s="16">
        <v>169</v>
      </c>
      <c r="AC171" s="16">
        <v>169</v>
      </c>
      <c r="AD171" s="16">
        <v>379</v>
      </c>
    </row>
    <row r="172" spans="10:30" x14ac:dyDescent="0.15">
      <c r="J172" s="20">
        <v>0.83</v>
      </c>
      <c r="X172" s="16">
        <v>170</v>
      </c>
      <c r="Y172" s="16">
        <v>305</v>
      </c>
      <c r="Z172" s="16">
        <v>477</v>
      </c>
      <c r="AB172" s="16">
        <v>170</v>
      </c>
      <c r="AC172" s="16">
        <v>169</v>
      </c>
      <c r="AD172" s="16">
        <v>400</v>
      </c>
    </row>
    <row r="173" spans="10:30" x14ac:dyDescent="0.15">
      <c r="J173" s="20">
        <v>0.83499999999999996</v>
      </c>
      <c r="X173" s="16">
        <v>171</v>
      </c>
      <c r="Y173" s="16">
        <v>305</v>
      </c>
      <c r="Z173" s="16">
        <v>505</v>
      </c>
      <c r="AB173" s="16">
        <v>171</v>
      </c>
      <c r="AC173" s="16">
        <v>169</v>
      </c>
      <c r="AD173" s="16">
        <v>421</v>
      </c>
    </row>
    <row r="174" spans="10:30" x14ac:dyDescent="0.15">
      <c r="J174" s="20">
        <v>0.84</v>
      </c>
      <c r="AB174" s="16">
        <v>172</v>
      </c>
      <c r="AC174" s="16">
        <v>169</v>
      </c>
      <c r="AD174" s="16">
        <v>442</v>
      </c>
    </row>
    <row r="175" spans="10:30" x14ac:dyDescent="0.15">
      <c r="J175" s="20">
        <v>0.84499999999999997</v>
      </c>
      <c r="AB175" s="16">
        <v>173</v>
      </c>
      <c r="AC175" s="16">
        <v>169</v>
      </c>
      <c r="AD175" s="16">
        <v>463</v>
      </c>
    </row>
    <row r="176" spans="10:30" x14ac:dyDescent="0.15">
      <c r="J176" s="20">
        <v>0.85</v>
      </c>
      <c r="AB176" s="16">
        <v>174</v>
      </c>
      <c r="AC176" s="16">
        <v>169</v>
      </c>
      <c r="AD176" s="16">
        <v>484</v>
      </c>
    </row>
    <row r="177" spans="10:30" x14ac:dyDescent="0.15">
      <c r="J177" s="20">
        <v>0.85499999999999998</v>
      </c>
      <c r="AB177" s="16">
        <v>175</v>
      </c>
      <c r="AC177" s="16">
        <v>169</v>
      </c>
      <c r="AD177" s="16">
        <v>505</v>
      </c>
    </row>
    <row r="178" spans="10:30" x14ac:dyDescent="0.15">
      <c r="J178" s="20">
        <v>0.86</v>
      </c>
      <c r="AB178" s="16">
        <v>176</v>
      </c>
      <c r="AC178" s="16">
        <v>197</v>
      </c>
      <c r="AD178" s="16">
        <v>505</v>
      </c>
    </row>
    <row r="179" spans="10:30" x14ac:dyDescent="0.15">
      <c r="J179" s="20">
        <v>0.86499999999999999</v>
      </c>
      <c r="AB179" s="16">
        <v>177</v>
      </c>
      <c r="AC179" s="16">
        <v>197</v>
      </c>
      <c r="AD179" s="16">
        <v>484</v>
      </c>
    </row>
    <row r="180" spans="10:30" x14ac:dyDescent="0.15">
      <c r="J180" s="20">
        <v>0.87</v>
      </c>
      <c r="AB180" s="16">
        <v>178</v>
      </c>
      <c r="AC180" s="16">
        <v>197</v>
      </c>
      <c r="AD180" s="16">
        <v>463</v>
      </c>
    </row>
    <row r="181" spans="10:30" x14ac:dyDescent="0.15">
      <c r="J181" s="20">
        <v>0.875</v>
      </c>
      <c r="AB181" s="16">
        <v>179</v>
      </c>
      <c r="AC181" s="16">
        <v>197</v>
      </c>
      <c r="AD181" s="16">
        <v>442</v>
      </c>
    </row>
    <row r="182" spans="10:30" x14ac:dyDescent="0.15">
      <c r="J182" s="20">
        <v>0.88</v>
      </c>
      <c r="AB182" s="16">
        <v>180</v>
      </c>
      <c r="AC182" s="16">
        <v>197</v>
      </c>
      <c r="AD182" s="16">
        <v>421</v>
      </c>
    </row>
    <row r="183" spans="10:30" x14ac:dyDescent="0.15">
      <c r="J183" s="20">
        <v>0.88500000000000001</v>
      </c>
      <c r="AB183" s="16">
        <v>181</v>
      </c>
      <c r="AC183" s="16">
        <v>197</v>
      </c>
      <c r="AD183" s="16">
        <v>400</v>
      </c>
    </row>
    <row r="184" spans="10:30" x14ac:dyDescent="0.15">
      <c r="J184" s="20">
        <v>0.89</v>
      </c>
      <c r="AB184" s="16">
        <v>182</v>
      </c>
      <c r="AC184" s="16">
        <v>197</v>
      </c>
      <c r="AD184" s="16">
        <v>379</v>
      </c>
    </row>
    <row r="185" spans="10:30" x14ac:dyDescent="0.15">
      <c r="J185" s="20">
        <v>0.89500000000000002</v>
      </c>
      <c r="AB185" s="16">
        <v>183</v>
      </c>
      <c r="AC185" s="16">
        <v>197</v>
      </c>
      <c r="AD185" s="16">
        <v>358</v>
      </c>
    </row>
    <row r="186" spans="10:30" x14ac:dyDescent="0.15">
      <c r="J186" s="20">
        <v>0.9</v>
      </c>
      <c r="AB186" s="16">
        <v>184</v>
      </c>
      <c r="AC186" s="16">
        <v>197</v>
      </c>
      <c r="AD186" s="16">
        <v>337</v>
      </c>
    </row>
    <row r="187" spans="10:30" x14ac:dyDescent="0.15">
      <c r="J187" s="20">
        <v>0.90500000000000003</v>
      </c>
      <c r="AB187" s="16">
        <v>185</v>
      </c>
      <c r="AC187" s="16">
        <v>197</v>
      </c>
      <c r="AD187" s="16">
        <v>316</v>
      </c>
    </row>
    <row r="188" spans="10:30" x14ac:dyDescent="0.15">
      <c r="J188" s="20">
        <v>0.91</v>
      </c>
      <c r="AB188" s="16">
        <v>186</v>
      </c>
      <c r="AC188" s="16">
        <v>197</v>
      </c>
      <c r="AD188" s="16">
        <v>295</v>
      </c>
    </row>
    <row r="189" spans="10:30" x14ac:dyDescent="0.15">
      <c r="J189" s="20">
        <v>0.91500000000000004</v>
      </c>
      <c r="AB189" s="16">
        <v>187</v>
      </c>
      <c r="AC189" s="16">
        <v>197</v>
      </c>
      <c r="AD189" s="16">
        <v>274</v>
      </c>
    </row>
    <row r="190" spans="10:30" x14ac:dyDescent="0.15">
      <c r="J190" s="20">
        <v>0.92</v>
      </c>
      <c r="AB190" s="16">
        <v>188</v>
      </c>
      <c r="AC190" s="16">
        <v>197</v>
      </c>
      <c r="AD190" s="16">
        <v>253</v>
      </c>
    </row>
    <row r="191" spans="10:30" x14ac:dyDescent="0.15">
      <c r="J191" s="20">
        <v>0.92500000000000004</v>
      </c>
      <c r="AB191" s="16">
        <v>189</v>
      </c>
      <c r="AC191" s="16">
        <v>197</v>
      </c>
      <c r="AD191" s="16">
        <v>232</v>
      </c>
    </row>
    <row r="192" spans="10:30" x14ac:dyDescent="0.15">
      <c r="J192" s="20">
        <v>0.93</v>
      </c>
      <c r="AB192" s="16">
        <v>190</v>
      </c>
      <c r="AC192" s="16">
        <v>197</v>
      </c>
      <c r="AD192" s="16">
        <v>211</v>
      </c>
    </row>
    <row r="193" spans="10:30" x14ac:dyDescent="0.15">
      <c r="J193" s="20">
        <v>0.93500000000000005</v>
      </c>
      <c r="AB193" s="16">
        <v>191</v>
      </c>
      <c r="AC193" s="16">
        <v>197</v>
      </c>
      <c r="AD193" s="16">
        <v>190</v>
      </c>
    </row>
    <row r="194" spans="10:30" x14ac:dyDescent="0.15">
      <c r="J194" s="20">
        <v>0.94</v>
      </c>
      <c r="AB194" s="16">
        <v>192</v>
      </c>
      <c r="AC194" s="16">
        <v>197</v>
      </c>
      <c r="AD194" s="16">
        <v>169</v>
      </c>
    </row>
    <row r="195" spans="10:30" x14ac:dyDescent="0.15">
      <c r="J195" s="20">
        <v>0.94499999999999995</v>
      </c>
      <c r="AB195" s="16">
        <v>193</v>
      </c>
      <c r="AC195" s="16">
        <v>197</v>
      </c>
      <c r="AD195" s="16">
        <v>148</v>
      </c>
    </row>
    <row r="196" spans="10:30" x14ac:dyDescent="0.15">
      <c r="J196" s="20">
        <v>0.95</v>
      </c>
      <c r="AB196" s="16">
        <v>194</v>
      </c>
      <c r="AC196" s="16">
        <v>197</v>
      </c>
      <c r="AD196" s="16">
        <v>127</v>
      </c>
    </row>
    <row r="197" spans="10:30" x14ac:dyDescent="0.15">
      <c r="J197" s="20">
        <v>0.95499999999999996</v>
      </c>
      <c r="AB197" s="16">
        <v>195</v>
      </c>
      <c r="AC197" s="16">
        <v>197</v>
      </c>
      <c r="AD197" s="16">
        <v>106</v>
      </c>
    </row>
    <row r="198" spans="10:30" x14ac:dyDescent="0.15">
      <c r="J198" s="20">
        <v>0.96</v>
      </c>
      <c r="AB198" s="16">
        <v>196</v>
      </c>
      <c r="AC198" s="16">
        <v>197</v>
      </c>
      <c r="AD198" s="16">
        <v>85</v>
      </c>
    </row>
    <row r="199" spans="10:30" x14ac:dyDescent="0.15">
      <c r="J199" s="20">
        <v>0.96499999999999997</v>
      </c>
      <c r="AB199" s="16">
        <v>197</v>
      </c>
      <c r="AC199" s="16">
        <v>197</v>
      </c>
      <c r="AD199" s="16">
        <v>64</v>
      </c>
    </row>
    <row r="200" spans="10:30" x14ac:dyDescent="0.15">
      <c r="J200" s="20">
        <v>0.97</v>
      </c>
      <c r="AB200" s="16">
        <v>198</v>
      </c>
      <c r="AC200" s="16">
        <v>197</v>
      </c>
      <c r="AD200" s="16">
        <v>43</v>
      </c>
    </row>
    <row r="201" spans="10:30" x14ac:dyDescent="0.15">
      <c r="J201" s="20">
        <v>0.97499999999999998</v>
      </c>
      <c r="AB201" s="16">
        <v>199</v>
      </c>
      <c r="AC201" s="16">
        <v>197</v>
      </c>
      <c r="AD201" s="16">
        <v>22</v>
      </c>
    </row>
    <row r="202" spans="10:30" x14ac:dyDescent="0.15">
      <c r="J202" s="20">
        <v>0.98</v>
      </c>
      <c r="AB202" s="16">
        <v>200</v>
      </c>
      <c r="AC202" s="16">
        <v>197</v>
      </c>
      <c r="AD202" s="16">
        <v>1</v>
      </c>
    </row>
    <row r="203" spans="10:30" x14ac:dyDescent="0.15">
      <c r="J203" s="20">
        <v>0.98499999999999999</v>
      </c>
      <c r="AB203" s="16">
        <v>201</v>
      </c>
      <c r="AC203" s="16">
        <v>225</v>
      </c>
      <c r="AD203" s="16">
        <v>1</v>
      </c>
    </row>
    <row r="204" spans="10:30" x14ac:dyDescent="0.15">
      <c r="J204" s="20">
        <v>0.99</v>
      </c>
      <c r="AB204" s="16">
        <v>202</v>
      </c>
      <c r="AC204" s="16">
        <v>225</v>
      </c>
      <c r="AD204" s="16">
        <v>22</v>
      </c>
    </row>
    <row r="205" spans="10:30" x14ac:dyDescent="0.15">
      <c r="J205" s="20">
        <v>0.995</v>
      </c>
      <c r="AB205" s="16">
        <v>203</v>
      </c>
      <c r="AC205" s="16">
        <v>225</v>
      </c>
      <c r="AD205" s="16">
        <v>43</v>
      </c>
    </row>
    <row r="206" spans="10:30" x14ac:dyDescent="0.15">
      <c r="J206" s="20">
        <v>1</v>
      </c>
      <c r="AB206" s="16">
        <v>204</v>
      </c>
      <c r="AC206" s="16">
        <v>225</v>
      </c>
      <c r="AD206" s="16">
        <v>64</v>
      </c>
    </row>
    <row r="207" spans="10:30" x14ac:dyDescent="0.15">
      <c r="J207" s="20">
        <v>1.0049999999999999</v>
      </c>
      <c r="AB207" s="16">
        <v>205</v>
      </c>
      <c r="AC207" s="16">
        <v>225</v>
      </c>
      <c r="AD207" s="16">
        <v>85</v>
      </c>
    </row>
    <row r="208" spans="10:30" x14ac:dyDescent="0.15">
      <c r="J208" s="20">
        <v>1.01</v>
      </c>
      <c r="AB208" s="16">
        <v>206</v>
      </c>
      <c r="AC208" s="16">
        <v>225</v>
      </c>
      <c r="AD208" s="16">
        <v>106</v>
      </c>
    </row>
    <row r="209" spans="10:30" x14ac:dyDescent="0.15">
      <c r="J209" s="20">
        <v>1.0149999999999999</v>
      </c>
      <c r="AB209" s="16">
        <v>207</v>
      </c>
      <c r="AC209" s="16">
        <v>225</v>
      </c>
      <c r="AD209" s="16">
        <v>127</v>
      </c>
    </row>
    <row r="210" spans="10:30" x14ac:dyDescent="0.15">
      <c r="J210" s="20">
        <v>1.02</v>
      </c>
      <c r="AB210" s="16">
        <v>208</v>
      </c>
      <c r="AC210" s="16">
        <v>225</v>
      </c>
      <c r="AD210" s="16">
        <v>148</v>
      </c>
    </row>
    <row r="211" spans="10:30" x14ac:dyDescent="0.15">
      <c r="J211" s="20">
        <v>1.0249999999999999</v>
      </c>
      <c r="AB211" s="16">
        <v>209</v>
      </c>
      <c r="AC211" s="16">
        <v>225</v>
      </c>
      <c r="AD211" s="16">
        <v>169</v>
      </c>
    </row>
    <row r="212" spans="10:30" x14ac:dyDescent="0.15">
      <c r="J212" s="20">
        <v>1.03</v>
      </c>
      <c r="AB212" s="16">
        <v>210</v>
      </c>
      <c r="AC212" s="16">
        <v>225</v>
      </c>
      <c r="AD212" s="16">
        <v>190</v>
      </c>
    </row>
    <row r="213" spans="10:30" x14ac:dyDescent="0.15">
      <c r="J213" s="20">
        <v>1.0349999999999999</v>
      </c>
      <c r="AB213" s="16">
        <v>211</v>
      </c>
      <c r="AC213" s="16">
        <v>225</v>
      </c>
      <c r="AD213" s="16">
        <v>211</v>
      </c>
    </row>
    <row r="214" spans="10:30" x14ac:dyDescent="0.15">
      <c r="J214" s="20">
        <v>1.04</v>
      </c>
      <c r="AB214" s="16">
        <v>212</v>
      </c>
      <c r="AC214" s="16">
        <v>225</v>
      </c>
      <c r="AD214" s="16">
        <v>232</v>
      </c>
    </row>
    <row r="215" spans="10:30" x14ac:dyDescent="0.15">
      <c r="J215" s="20">
        <v>1.0449999999999999</v>
      </c>
      <c r="AB215" s="16">
        <v>213</v>
      </c>
      <c r="AC215" s="16">
        <v>225</v>
      </c>
      <c r="AD215" s="16">
        <v>253</v>
      </c>
    </row>
    <row r="216" spans="10:30" x14ac:dyDescent="0.15">
      <c r="J216" s="20">
        <v>1.05</v>
      </c>
      <c r="AB216" s="16">
        <v>214</v>
      </c>
      <c r="AC216" s="16">
        <v>225</v>
      </c>
      <c r="AD216" s="16">
        <v>274</v>
      </c>
    </row>
    <row r="217" spans="10:30" x14ac:dyDescent="0.15">
      <c r="J217" s="20">
        <v>1.0549999999999999</v>
      </c>
      <c r="AB217" s="16">
        <v>215</v>
      </c>
      <c r="AC217" s="16">
        <v>225</v>
      </c>
      <c r="AD217" s="16">
        <v>295</v>
      </c>
    </row>
    <row r="218" spans="10:30" x14ac:dyDescent="0.15">
      <c r="J218" s="20">
        <v>1.06</v>
      </c>
      <c r="AB218" s="16">
        <v>216</v>
      </c>
      <c r="AC218" s="16">
        <v>225</v>
      </c>
      <c r="AD218" s="16">
        <v>316</v>
      </c>
    </row>
    <row r="219" spans="10:30" x14ac:dyDescent="0.15">
      <c r="J219" s="20">
        <v>1.0649999999999999</v>
      </c>
      <c r="AB219" s="16">
        <v>217</v>
      </c>
      <c r="AC219" s="16">
        <v>225</v>
      </c>
      <c r="AD219" s="16">
        <v>337</v>
      </c>
    </row>
    <row r="220" spans="10:30" x14ac:dyDescent="0.15">
      <c r="J220" s="20">
        <v>1.07</v>
      </c>
      <c r="AB220" s="16">
        <v>218</v>
      </c>
      <c r="AC220" s="16">
        <v>225</v>
      </c>
      <c r="AD220" s="16">
        <v>358</v>
      </c>
    </row>
    <row r="221" spans="10:30" x14ac:dyDescent="0.15">
      <c r="J221" s="20">
        <v>1.075</v>
      </c>
      <c r="AB221" s="16">
        <v>219</v>
      </c>
      <c r="AC221" s="16">
        <v>225</v>
      </c>
      <c r="AD221" s="16">
        <v>379</v>
      </c>
    </row>
    <row r="222" spans="10:30" x14ac:dyDescent="0.15">
      <c r="J222" s="20">
        <v>1.08</v>
      </c>
      <c r="AB222" s="16">
        <v>220</v>
      </c>
      <c r="AC222" s="16">
        <v>225</v>
      </c>
      <c r="AD222" s="16">
        <v>400</v>
      </c>
    </row>
    <row r="223" spans="10:30" x14ac:dyDescent="0.15">
      <c r="J223" s="20">
        <v>1.085</v>
      </c>
      <c r="AB223" s="16">
        <v>221</v>
      </c>
      <c r="AC223" s="16">
        <v>225</v>
      </c>
      <c r="AD223" s="16">
        <v>421</v>
      </c>
    </row>
    <row r="224" spans="10:30" x14ac:dyDescent="0.15">
      <c r="J224" s="20">
        <v>1.0900000000000001</v>
      </c>
      <c r="AB224" s="16">
        <v>222</v>
      </c>
      <c r="AC224" s="16">
        <v>225</v>
      </c>
      <c r="AD224" s="16">
        <v>442</v>
      </c>
    </row>
    <row r="225" spans="10:30" x14ac:dyDescent="0.15">
      <c r="J225" s="20">
        <v>1.095</v>
      </c>
      <c r="AB225" s="16">
        <v>223</v>
      </c>
      <c r="AC225" s="16">
        <v>225</v>
      </c>
      <c r="AD225" s="16">
        <v>463</v>
      </c>
    </row>
    <row r="226" spans="10:30" x14ac:dyDescent="0.15">
      <c r="J226" s="20">
        <v>1.1000000000000001</v>
      </c>
      <c r="AB226" s="16">
        <v>224</v>
      </c>
      <c r="AC226" s="16">
        <v>225</v>
      </c>
      <c r="AD226" s="16">
        <v>484</v>
      </c>
    </row>
    <row r="227" spans="10:30" x14ac:dyDescent="0.15">
      <c r="J227" s="20">
        <v>1.105</v>
      </c>
      <c r="AB227" s="16">
        <v>225</v>
      </c>
      <c r="AC227" s="16">
        <v>225</v>
      </c>
      <c r="AD227" s="16">
        <v>505</v>
      </c>
    </row>
    <row r="228" spans="10:30" x14ac:dyDescent="0.15">
      <c r="J228" s="20">
        <v>1.1100000000000001</v>
      </c>
      <c r="AB228" s="16">
        <v>226</v>
      </c>
      <c r="AC228" s="16">
        <v>253</v>
      </c>
      <c r="AD228" s="16">
        <v>505</v>
      </c>
    </row>
    <row r="229" spans="10:30" x14ac:dyDescent="0.15">
      <c r="J229" s="20">
        <v>1.115</v>
      </c>
      <c r="AB229" s="16">
        <v>227</v>
      </c>
      <c r="AC229" s="16">
        <v>253</v>
      </c>
      <c r="AD229" s="16">
        <v>484</v>
      </c>
    </row>
    <row r="230" spans="10:30" x14ac:dyDescent="0.15">
      <c r="J230" s="20">
        <v>1.1200000000000001</v>
      </c>
      <c r="AB230" s="16">
        <v>228</v>
      </c>
      <c r="AC230" s="16">
        <v>253</v>
      </c>
      <c r="AD230" s="16">
        <v>463</v>
      </c>
    </row>
    <row r="231" spans="10:30" x14ac:dyDescent="0.15">
      <c r="J231" s="20">
        <v>1.125</v>
      </c>
      <c r="AB231" s="16">
        <v>229</v>
      </c>
      <c r="AC231" s="16">
        <v>253</v>
      </c>
      <c r="AD231" s="16">
        <v>442</v>
      </c>
    </row>
    <row r="232" spans="10:30" x14ac:dyDescent="0.15">
      <c r="J232" s="20">
        <v>1.1299999999999999</v>
      </c>
      <c r="AB232" s="16">
        <v>230</v>
      </c>
      <c r="AC232" s="16">
        <v>253</v>
      </c>
      <c r="AD232" s="16">
        <v>421</v>
      </c>
    </row>
    <row r="233" spans="10:30" x14ac:dyDescent="0.15">
      <c r="J233" s="20">
        <v>1.135</v>
      </c>
      <c r="AB233" s="16">
        <v>231</v>
      </c>
      <c r="AC233" s="16">
        <v>253</v>
      </c>
      <c r="AD233" s="16">
        <v>400</v>
      </c>
    </row>
    <row r="234" spans="10:30" x14ac:dyDescent="0.15">
      <c r="J234" s="20">
        <v>1.1399999999999999</v>
      </c>
      <c r="AB234" s="16">
        <v>232</v>
      </c>
      <c r="AC234" s="16">
        <v>253</v>
      </c>
      <c r="AD234" s="16">
        <v>379</v>
      </c>
    </row>
    <row r="235" spans="10:30" x14ac:dyDescent="0.15">
      <c r="J235" s="20">
        <v>1.145</v>
      </c>
      <c r="AB235" s="16">
        <v>233</v>
      </c>
      <c r="AC235" s="16">
        <v>253</v>
      </c>
      <c r="AD235" s="16">
        <v>358</v>
      </c>
    </row>
    <row r="236" spans="10:30" x14ac:dyDescent="0.15">
      <c r="J236" s="20">
        <v>1.1499999999999999</v>
      </c>
      <c r="AB236" s="16">
        <v>234</v>
      </c>
      <c r="AC236" s="16">
        <v>253</v>
      </c>
      <c r="AD236" s="16">
        <v>337</v>
      </c>
    </row>
    <row r="237" spans="10:30" x14ac:dyDescent="0.15">
      <c r="J237" s="20">
        <v>1.155</v>
      </c>
      <c r="AB237" s="16">
        <v>235</v>
      </c>
      <c r="AC237" s="16">
        <v>253</v>
      </c>
      <c r="AD237" s="16">
        <v>316</v>
      </c>
    </row>
    <row r="238" spans="10:30" x14ac:dyDescent="0.15">
      <c r="J238" s="20">
        <v>1.1599999999999999</v>
      </c>
      <c r="AB238" s="16">
        <v>236</v>
      </c>
      <c r="AC238" s="16">
        <v>253</v>
      </c>
      <c r="AD238" s="16">
        <v>295</v>
      </c>
    </row>
    <row r="239" spans="10:30" x14ac:dyDescent="0.15">
      <c r="J239" s="20">
        <v>1.165</v>
      </c>
      <c r="AB239" s="16">
        <v>237</v>
      </c>
      <c r="AC239" s="16">
        <v>253</v>
      </c>
      <c r="AD239" s="16">
        <v>274</v>
      </c>
    </row>
    <row r="240" spans="10:30" x14ac:dyDescent="0.15">
      <c r="J240" s="20">
        <v>1.17</v>
      </c>
      <c r="AB240" s="16">
        <v>238</v>
      </c>
      <c r="AC240" s="16">
        <v>253</v>
      </c>
      <c r="AD240" s="16">
        <v>253</v>
      </c>
    </row>
    <row r="241" spans="10:30" x14ac:dyDescent="0.15">
      <c r="J241" s="20">
        <v>1.175</v>
      </c>
      <c r="AB241" s="16">
        <v>239</v>
      </c>
      <c r="AC241" s="16">
        <v>253</v>
      </c>
      <c r="AD241" s="16">
        <v>232</v>
      </c>
    </row>
    <row r="242" spans="10:30" x14ac:dyDescent="0.15">
      <c r="J242" s="20">
        <v>1.18</v>
      </c>
      <c r="AB242" s="16">
        <v>240</v>
      </c>
      <c r="AC242" s="16">
        <v>253</v>
      </c>
      <c r="AD242" s="16">
        <v>211</v>
      </c>
    </row>
    <row r="243" spans="10:30" x14ac:dyDescent="0.15">
      <c r="J243" s="20">
        <v>1.1850000000000001</v>
      </c>
      <c r="AB243" s="16">
        <v>241</v>
      </c>
      <c r="AC243" s="16">
        <v>253</v>
      </c>
      <c r="AD243" s="16">
        <v>190</v>
      </c>
    </row>
    <row r="244" spans="10:30" x14ac:dyDescent="0.15">
      <c r="J244" s="20">
        <v>1.19</v>
      </c>
      <c r="AB244" s="16">
        <v>242</v>
      </c>
      <c r="AC244" s="16">
        <v>253</v>
      </c>
      <c r="AD244" s="16">
        <v>169</v>
      </c>
    </row>
    <row r="245" spans="10:30" x14ac:dyDescent="0.15">
      <c r="J245" s="20">
        <v>1.1950000000000001</v>
      </c>
      <c r="AB245" s="16">
        <v>243</v>
      </c>
      <c r="AC245" s="16">
        <v>253</v>
      </c>
      <c r="AD245" s="16">
        <v>148</v>
      </c>
    </row>
    <row r="246" spans="10:30" x14ac:dyDescent="0.15">
      <c r="J246" s="20">
        <v>1.2</v>
      </c>
      <c r="AB246" s="16">
        <v>244</v>
      </c>
      <c r="AC246" s="16">
        <v>253</v>
      </c>
      <c r="AD246" s="16">
        <v>127</v>
      </c>
    </row>
    <row r="247" spans="10:30" x14ac:dyDescent="0.15">
      <c r="J247" s="20">
        <v>1.2050000000000001</v>
      </c>
      <c r="AB247" s="16">
        <v>245</v>
      </c>
      <c r="AC247" s="16">
        <v>253</v>
      </c>
      <c r="AD247" s="16">
        <v>106</v>
      </c>
    </row>
    <row r="248" spans="10:30" x14ac:dyDescent="0.15">
      <c r="J248" s="20">
        <v>1.21</v>
      </c>
      <c r="AB248" s="16">
        <v>246</v>
      </c>
      <c r="AC248" s="16">
        <v>253</v>
      </c>
      <c r="AD248" s="16">
        <v>85</v>
      </c>
    </row>
    <row r="249" spans="10:30" x14ac:dyDescent="0.15">
      <c r="J249" s="20">
        <v>1.2150000000000001</v>
      </c>
      <c r="AB249" s="16">
        <v>247</v>
      </c>
      <c r="AC249" s="16">
        <v>253</v>
      </c>
      <c r="AD249" s="16">
        <v>64</v>
      </c>
    </row>
    <row r="250" spans="10:30" x14ac:dyDescent="0.15">
      <c r="J250" s="20">
        <v>1.22</v>
      </c>
      <c r="AB250" s="16">
        <v>248</v>
      </c>
      <c r="AC250" s="16">
        <v>253</v>
      </c>
      <c r="AD250" s="16">
        <v>43</v>
      </c>
    </row>
    <row r="251" spans="10:30" x14ac:dyDescent="0.15">
      <c r="J251" s="20">
        <v>1.2250000000000001</v>
      </c>
      <c r="AB251" s="16">
        <v>249</v>
      </c>
      <c r="AC251" s="16">
        <v>253</v>
      </c>
      <c r="AD251" s="16">
        <v>22</v>
      </c>
    </row>
    <row r="252" spans="10:30" x14ac:dyDescent="0.15">
      <c r="J252" s="20">
        <v>1.23</v>
      </c>
      <c r="AB252" s="16">
        <v>250</v>
      </c>
      <c r="AC252" s="16">
        <v>253</v>
      </c>
      <c r="AD252" s="16">
        <v>1</v>
      </c>
    </row>
    <row r="253" spans="10:30" x14ac:dyDescent="0.15">
      <c r="J253" s="20">
        <v>1.2350000000000001</v>
      </c>
      <c r="AB253" s="16">
        <v>251</v>
      </c>
      <c r="AC253" s="16">
        <v>281</v>
      </c>
      <c r="AD253" s="16">
        <v>1</v>
      </c>
    </row>
    <row r="254" spans="10:30" x14ac:dyDescent="0.15">
      <c r="J254" s="20">
        <v>1.24</v>
      </c>
      <c r="AB254" s="16">
        <v>252</v>
      </c>
      <c r="AC254" s="16">
        <v>281</v>
      </c>
      <c r="AD254" s="16">
        <v>22</v>
      </c>
    </row>
    <row r="255" spans="10:30" x14ac:dyDescent="0.15">
      <c r="J255" s="20">
        <v>1.2450000000000001</v>
      </c>
      <c r="AB255" s="16">
        <v>253</v>
      </c>
      <c r="AC255" s="16">
        <v>281</v>
      </c>
      <c r="AD255" s="16">
        <v>43</v>
      </c>
    </row>
    <row r="256" spans="10:30" x14ac:dyDescent="0.15">
      <c r="J256" s="20">
        <v>1.25</v>
      </c>
      <c r="AB256" s="16">
        <v>254</v>
      </c>
      <c r="AC256" s="16">
        <v>281</v>
      </c>
      <c r="AD256" s="16">
        <v>64</v>
      </c>
    </row>
    <row r="257" spans="10:30" x14ac:dyDescent="0.15">
      <c r="J257" s="20">
        <v>1.2549999999999999</v>
      </c>
      <c r="AB257" s="16">
        <v>255</v>
      </c>
      <c r="AC257" s="16">
        <v>281</v>
      </c>
      <c r="AD257" s="16">
        <v>85</v>
      </c>
    </row>
    <row r="258" spans="10:30" x14ac:dyDescent="0.15">
      <c r="J258" s="20">
        <v>1.26</v>
      </c>
      <c r="AB258" s="16">
        <v>256</v>
      </c>
      <c r="AC258" s="16">
        <v>281</v>
      </c>
      <c r="AD258" s="16">
        <v>106</v>
      </c>
    </row>
    <row r="259" spans="10:30" x14ac:dyDescent="0.15">
      <c r="J259" s="20">
        <v>1.2649999999999999</v>
      </c>
      <c r="AB259" s="16">
        <v>257</v>
      </c>
      <c r="AC259" s="16">
        <v>281</v>
      </c>
      <c r="AD259" s="16">
        <v>127</v>
      </c>
    </row>
    <row r="260" spans="10:30" x14ac:dyDescent="0.15">
      <c r="J260" s="20">
        <v>1.27</v>
      </c>
      <c r="AB260" s="16">
        <v>258</v>
      </c>
      <c r="AC260" s="16">
        <v>281</v>
      </c>
      <c r="AD260" s="16">
        <v>148</v>
      </c>
    </row>
    <row r="261" spans="10:30" x14ac:dyDescent="0.15">
      <c r="J261" s="20">
        <v>1.2749999999999999</v>
      </c>
      <c r="AB261" s="16">
        <v>259</v>
      </c>
      <c r="AC261" s="16">
        <v>281</v>
      </c>
      <c r="AD261" s="16">
        <v>169</v>
      </c>
    </row>
    <row r="262" spans="10:30" x14ac:dyDescent="0.15">
      <c r="J262" s="20">
        <v>1.28</v>
      </c>
      <c r="AB262" s="16">
        <v>260</v>
      </c>
      <c r="AC262" s="16">
        <v>281</v>
      </c>
      <c r="AD262" s="16">
        <v>190</v>
      </c>
    </row>
    <row r="263" spans="10:30" x14ac:dyDescent="0.15">
      <c r="J263" s="20">
        <v>1.2849999999999999</v>
      </c>
      <c r="AB263" s="16">
        <v>261</v>
      </c>
      <c r="AC263" s="16">
        <v>281</v>
      </c>
      <c r="AD263" s="16">
        <v>211</v>
      </c>
    </row>
    <row r="264" spans="10:30" x14ac:dyDescent="0.15">
      <c r="J264" s="20">
        <v>1.29</v>
      </c>
      <c r="AB264" s="16">
        <v>262</v>
      </c>
      <c r="AC264" s="16">
        <v>281</v>
      </c>
      <c r="AD264" s="16">
        <v>232</v>
      </c>
    </row>
    <row r="265" spans="10:30" x14ac:dyDescent="0.15">
      <c r="J265" s="20">
        <v>1.2949999999999999</v>
      </c>
      <c r="AB265" s="16">
        <v>263</v>
      </c>
      <c r="AC265" s="16">
        <v>281</v>
      </c>
      <c r="AD265" s="16">
        <v>253</v>
      </c>
    </row>
    <row r="266" spans="10:30" x14ac:dyDescent="0.15">
      <c r="J266" s="20">
        <v>1.3</v>
      </c>
      <c r="AB266" s="16">
        <v>264</v>
      </c>
      <c r="AC266" s="16">
        <v>281</v>
      </c>
      <c r="AD266" s="16">
        <v>274</v>
      </c>
    </row>
    <row r="267" spans="10:30" x14ac:dyDescent="0.15">
      <c r="J267" s="20">
        <v>1.3049999999999999</v>
      </c>
      <c r="AB267" s="16">
        <v>265</v>
      </c>
      <c r="AC267" s="16">
        <v>281</v>
      </c>
      <c r="AD267" s="16">
        <v>295</v>
      </c>
    </row>
    <row r="268" spans="10:30" x14ac:dyDescent="0.15">
      <c r="J268" s="20">
        <v>1.31</v>
      </c>
      <c r="AB268" s="16">
        <v>266</v>
      </c>
      <c r="AC268" s="16">
        <v>281</v>
      </c>
      <c r="AD268" s="16">
        <v>316</v>
      </c>
    </row>
    <row r="269" spans="10:30" x14ac:dyDescent="0.15">
      <c r="J269" s="20">
        <v>1.3149999999999999</v>
      </c>
      <c r="AB269" s="16">
        <v>267</v>
      </c>
      <c r="AC269" s="16">
        <v>281</v>
      </c>
      <c r="AD269" s="16">
        <v>337</v>
      </c>
    </row>
    <row r="270" spans="10:30" x14ac:dyDescent="0.15">
      <c r="J270" s="20">
        <v>1.32</v>
      </c>
      <c r="AB270" s="16">
        <v>268</v>
      </c>
      <c r="AC270" s="16">
        <v>281</v>
      </c>
      <c r="AD270" s="16">
        <v>358</v>
      </c>
    </row>
    <row r="271" spans="10:30" x14ac:dyDescent="0.15">
      <c r="J271" s="20">
        <v>1.325</v>
      </c>
      <c r="AB271" s="16">
        <v>269</v>
      </c>
      <c r="AC271" s="16">
        <v>281</v>
      </c>
      <c r="AD271" s="16">
        <v>379</v>
      </c>
    </row>
    <row r="272" spans="10:30" x14ac:dyDescent="0.15">
      <c r="J272" s="20">
        <v>1.33</v>
      </c>
      <c r="AB272" s="16">
        <v>270</v>
      </c>
      <c r="AC272" s="16">
        <v>281</v>
      </c>
      <c r="AD272" s="16">
        <v>400</v>
      </c>
    </row>
    <row r="273" spans="10:30" x14ac:dyDescent="0.15">
      <c r="J273" s="20">
        <v>1.335</v>
      </c>
      <c r="AB273" s="16">
        <v>271</v>
      </c>
      <c r="AC273" s="16">
        <v>281</v>
      </c>
      <c r="AD273" s="16">
        <v>421</v>
      </c>
    </row>
    <row r="274" spans="10:30" x14ac:dyDescent="0.15">
      <c r="J274" s="20">
        <v>1.34</v>
      </c>
      <c r="AB274" s="16">
        <v>272</v>
      </c>
      <c r="AC274" s="16">
        <v>281</v>
      </c>
      <c r="AD274" s="16">
        <v>442</v>
      </c>
    </row>
    <row r="275" spans="10:30" x14ac:dyDescent="0.15">
      <c r="J275" s="20">
        <v>1.345</v>
      </c>
      <c r="AB275" s="16">
        <v>273</v>
      </c>
      <c r="AC275" s="16">
        <v>281</v>
      </c>
      <c r="AD275" s="16">
        <v>463</v>
      </c>
    </row>
    <row r="276" spans="10:30" x14ac:dyDescent="0.15">
      <c r="J276" s="20">
        <v>1.35</v>
      </c>
      <c r="AB276" s="16">
        <v>274</v>
      </c>
      <c r="AC276" s="16">
        <v>281</v>
      </c>
      <c r="AD276" s="16">
        <v>484</v>
      </c>
    </row>
    <row r="277" spans="10:30" x14ac:dyDescent="0.15">
      <c r="J277" s="20">
        <v>1.355</v>
      </c>
      <c r="AB277" s="16">
        <v>275</v>
      </c>
      <c r="AC277" s="16">
        <v>281</v>
      </c>
      <c r="AD277" s="16">
        <v>505</v>
      </c>
    </row>
    <row r="278" spans="10:30" x14ac:dyDescent="0.15">
      <c r="J278" s="20">
        <v>1.36</v>
      </c>
      <c r="AB278" s="16">
        <v>276</v>
      </c>
      <c r="AC278" s="16">
        <v>309</v>
      </c>
      <c r="AD278" s="16">
        <v>505</v>
      </c>
    </row>
    <row r="279" spans="10:30" x14ac:dyDescent="0.15">
      <c r="J279" s="20">
        <v>1.365</v>
      </c>
      <c r="AB279" s="16">
        <v>277</v>
      </c>
      <c r="AC279" s="16">
        <v>309</v>
      </c>
      <c r="AD279" s="16">
        <v>484</v>
      </c>
    </row>
    <row r="280" spans="10:30" x14ac:dyDescent="0.15">
      <c r="J280" s="20">
        <v>1.37</v>
      </c>
      <c r="AB280" s="16">
        <v>278</v>
      </c>
      <c r="AC280" s="16">
        <v>309</v>
      </c>
      <c r="AD280" s="16">
        <v>463</v>
      </c>
    </row>
    <row r="281" spans="10:30" x14ac:dyDescent="0.15">
      <c r="J281" s="20">
        <v>1.375</v>
      </c>
      <c r="AB281" s="16">
        <v>279</v>
      </c>
      <c r="AC281" s="16">
        <v>309</v>
      </c>
      <c r="AD281" s="16">
        <v>442</v>
      </c>
    </row>
    <row r="282" spans="10:30" x14ac:dyDescent="0.15">
      <c r="J282" s="20">
        <v>1.38</v>
      </c>
      <c r="AB282" s="16">
        <v>280</v>
      </c>
      <c r="AC282" s="16">
        <v>309</v>
      </c>
      <c r="AD282" s="16">
        <v>421</v>
      </c>
    </row>
    <row r="283" spans="10:30" x14ac:dyDescent="0.15">
      <c r="J283" s="20">
        <v>1.385</v>
      </c>
      <c r="AB283" s="16">
        <v>281</v>
      </c>
      <c r="AC283" s="16">
        <v>309</v>
      </c>
      <c r="AD283" s="16">
        <v>400</v>
      </c>
    </row>
    <row r="284" spans="10:30" x14ac:dyDescent="0.15">
      <c r="J284" s="20">
        <v>1.39</v>
      </c>
      <c r="AB284" s="16">
        <v>282</v>
      </c>
      <c r="AC284" s="16">
        <v>309</v>
      </c>
      <c r="AD284" s="16">
        <v>379</v>
      </c>
    </row>
    <row r="285" spans="10:30" x14ac:dyDescent="0.15">
      <c r="J285" s="20">
        <v>1.395</v>
      </c>
      <c r="AB285" s="16">
        <v>283</v>
      </c>
      <c r="AC285" s="16">
        <v>309</v>
      </c>
      <c r="AD285" s="16">
        <v>358</v>
      </c>
    </row>
    <row r="286" spans="10:30" x14ac:dyDescent="0.15">
      <c r="J286" s="20">
        <v>1.4</v>
      </c>
      <c r="AB286" s="16">
        <v>284</v>
      </c>
      <c r="AC286" s="16">
        <v>309</v>
      </c>
      <c r="AD286" s="16">
        <v>337</v>
      </c>
    </row>
    <row r="287" spans="10:30" x14ac:dyDescent="0.15">
      <c r="J287" s="20">
        <v>1.405</v>
      </c>
      <c r="AB287" s="16">
        <v>285</v>
      </c>
      <c r="AC287" s="16">
        <v>309</v>
      </c>
      <c r="AD287" s="16">
        <v>316</v>
      </c>
    </row>
    <row r="288" spans="10:30" x14ac:dyDescent="0.15">
      <c r="J288" s="20">
        <v>1.41</v>
      </c>
      <c r="AB288" s="16">
        <v>286</v>
      </c>
      <c r="AC288" s="16">
        <v>309</v>
      </c>
      <c r="AD288" s="16">
        <v>295</v>
      </c>
    </row>
    <row r="289" spans="10:30" x14ac:dyDescent="0.15">
      <c r="J289" s="20">
        <v>1.415</v>
      </c>
      <c r="AB289" s="16">
        <v>287</v>
      </c>
      <c r="AC289" s="16">
        <v>309</v>
      </c>
      <c r="AD289" s="16">
        <v>274</v>
      </c>
    </row>
    <row r="290" spans="10:30" x14ac:dyDescent="0.15">
      <c r="J290" s="20">
        <v>1.42</v>
      </c>
      <c r="AB290" s="16">
        <v>288</v>
      </c>
      <c r="AC290" s="16">
        <v>309</v>
      </c>
      <c r="AD290" s="16">
        <v>253</v>
      </c>
    </row>
    <row r="291" spans="10:30" x14ac:dyDescent="0.15">
      <c r="J291" s="20">
        <v>1.425</v>
      </c>
      <c r="AB291" s="16">
        <v>289</v>
      </c>
      <c r="AC291" s="16">
        <v>309</v>
      </c>
      <c r="AD291" s="16">
        <v>232</v>
      </c>
    </row>
    <row r="292" spans="10:30" x14ac:dyDescent="0.15">
      <c r="J292" s="20">
        <v>1.43</v>
      </c>
      <c r="AB292" s="16">
        <v>290</v>
      </c>
      <c r="AC292" s="16">
        <v>309</v>
      </c>
      <c r="AD292" s="16">
        <v>211</v>
      </c>
    </row>
    <row r="293" spans="10:30" x14ac:dyDescent="0.15">
      <c r="J293" s="20">
        <v>1.4350000000000001</v>
      </c>
      <c r="AB293" s="16">
        <v>291</v>
      </c>
      <c r="AC293" s="16">
        <v>309</v>
      </c>
      <c r="AD293" s="16">
        <v>190</v>
      </c>
    </row>
    <row r="294" spans="10:30" x14ac:dyDescent="0.15">
      <c r="J294" s="20">
        <v>1.44</v>
      </c>
      <c r="AB294" s="16">
        <v>292</v>
      </c>
      <c r="AC294" s="16">
        <v>309</v>
      </c>
      <c r="AD294" s="16">
        <v>169</v>
      </c>
    </row>
    <row r="295" spans="10:30" x14ac:dyDescent="0.15">
      <c r="J295" s="20">
        <v>1.4450000000000001</v>
      </c>
      <c r="AB295" s="16">
        <v>293</v>
      </c>
      <c r="AC295" s="16">
        <v>309</v>
      </c>
      <c r="AD295" s="16">
        <v>148</v>
      </c>
    </row>
    <row r="296" spans="10:30" x14ac:dyDescent="0.15">
      <c r="J296" s="20">
        <v>1.45</v>
      </c>
      <c r="AB296" s="16">
        <v>294</v>
      </c>
      <c r="AC296" s="16">
        <v>309</v>
      </c>
      <c r="AD296" s="16">
        <v>127</v>
      </c>
    </row>
    <row r="297" spans="10:30" x14ac:dyDescent="0.15">
      <c r="J297" s="20">
        <v>1.4550000000000001</v>
      </c>
      <c r="AB297" s="16">
        <v>295</v>
      </c>
      <c r="AC297" s="16">
        <v>309</v>
      </c>
      <c r="AD297" s="16">
        <v>106</v>
      </c>
    </row>
    <row r="298" spans="10:30" x14ac:dyDescent="0.15">
      <c r="J298" s="20">
        <v>1.46</v>
      </c>
      <c r="AB298" s="16">
        <v>296</v>
      </c>
      <c r="AC298" s="16">
        <v>309</v>
      </c>
      <c r="AD298" s="16">
        <v>85</v>
      </c>
    </row>
    <row r="299" spans="10:30" x14ac:dyDescent="0.15">
      <c r="J299" s="20">
        <v>1.4650000000000001</v>
      </c>
      <c r="AB299" s="16">
        <v>297</v>
      </c>
      <c r="AC299" s="16">
        <v>309</v>
      </c>
      <c r="AD299" s="16">
        <v>64</v>
      </c>
    </row>
    <row r="300" spans="10:30" x14ac:dyDescent="0.15">
      <c r="J300" s="20">
        <v>1.47</v>
      </c>
      <c r="AB300" s="16">
        <v>298</v>
      </c>
      <c r="AC300" s="16">
        <v>309</v>
      </c>
      <c r="AD300" s="16">
        <v>43</v>
      </c>
    </row>
    <row r="301" spans="10:30" x14ac:dyDescent="0.15">
      <c r="J301" s="20">
        <v>1.4750000000000001</v>
      </c>
      <c r="AB301" s="16">
        <v>299</v>
      </c>
      <c r="AC301" s="16">
        <v>309</v>
      </c>
      <c r="AD301" s="16">
        <v>22</v>
      </c>
    </row>
    <row r="302" spans="10:30" x14ac:dyDescent="0.15">
      <c r="J302" s="20">
        <v>1.48</v>
      </c>
      <c r="AB302" s="16">
        <v>300</v>
      </c>
      <c r="AC302" s="16">
        <v>309</v>
      </c>
      <c r="AD302" s="16">
        <v>1</v>
      </c>
    </row>
    <row r="303" spans="10:30" x14ac:dyDescent="0.15">
      <c r="J303" s="20">
        <v>1.4850000000000001</v>
      </c>
    </row>
    <row r="304" spans="10:30" x14ac:dyDescent="0.15">
      <c r="J304" s="20">
        <v>1.49</v>
      </c>
    </row>
    <row r="305" spans="10:10" x14ac:dyDescent="0.15">
      <c r="J305" s="20">
        <v>1.4950000000000001</v>
      </c>
    </row>
    <row r="306" spans="10:10" x14ac:dyDescent="0.15">
      <c r="J306" s="20">
        <v>1.5</v>
      </c>
    </row>
    <row r="307" spans="10:10" x14ac:dyDescent="0.15">
      <c r="J307" s="20">
        <v>1.5049999999999999</v>
      </c>
    </row>
    <row r="308" spans="10:10" x14ac:dyDescent="0.15">
      <c r="J308" s="20">
        <v>1.51</v>
      </c>
    </row>
    <row r="309" spans="10:10" x14ac:dyDescent="0.15">
      <c r="J309" s="20">
        <v>1.5149999999999999</v>
      </c>
    </row>
    <row r="310" spans="10:10" x14ac:dyDescent="0.15">
      <c r="J310" s="20">
        <v>1.52</v>
      </c>
    </row>
    <row r="311" spans="10:10" x14ac:dyDescent="0.15">
      <c r="J311" s="20">
        <v>1.5249999999999999</v>
      </c>
    </row>
    <row r="312" spans="10:10" x14ac:dyDescent="0.15">
      <c r="J312" s="20">
        <v>1.53</v>
      </c>
    </row>
    <row r="313" spans="10:10" x14ac:dyDescent="0.15">
      <c r="J313" s="20">
        <v>1.5349999999999999</v>
      </c>
    </row>
    <row r="314" spans="10:10" x14ac:dyDescent="0.15">
      <c r="J314" s="20">
        <v>1.54</v>
      </c>
    </row>
    <row r="315" spans="10:10" x14ac:dyDescent="0.15">
      <c r="J315" s="20">
        <v>1.5449999999999999</v>
      </c>
    </row>
    <row r="316" spans="10:10" x14ac:dyDescent="0.15">
      <c r="J316" s="20">
        <v>1.55</v>
      </c>
    </row>
    <row r="317" spans="10:10" x14ac:dyDescent="0.15">
      <c r="J317" s="20">
        <v>1.5549999999999999</v>
      </c>
    </row>
    <row r="318" spans="10:10" x14ac:dyDescent="0.15">
      <c r="J318" s="20">
        <v>1.56</v>
      </c>
    </row>
    <row r="319" spans="10:10" x14ac:dyDescent="0.15">
      <c r="J319" s="20">
        <v>1.5649999999999999</v>
      </c>
    </row>
    <row r="320" spans="10:10" x14ac:dyDescent="0.15">
      <c r="J320" s="20">
        <v>1.57</v>
      </c>
    </row>
    <row r="321" spans="10:10" x14ac:dyDescent="0.15">
      <c r="J321" s="20">
        <v>1.575</v>
      </c>
    </row>
    <row r="322" spans="10:10" x14ac:dyDescent="0.15">
      <c r="J322" s="20">
        <v>1.58</v>
      </c>
    </row>
    <row r="323" spans="10:10" x14ac:dyDescent="0.15">
      <c r="J323" s="20">
        <v>1.585</v>
      </c>
    </row>
    <row r="324" spans="10:10" x14ac:dyDescent="0.15">
      <c r="J324" s="20">
        <v>1.59</v>
      </c>
    </row>
    <row r="325" spans="10:10" x14ac:dyDescent="0.15">
      <c r="J325" s="20">
        <v>1.595</v>
      </c>
    </row>
    <row r="326" spans="10:10" x14ac:dyDescent="0.15">
      <c r="J326" s="20">
        <v>1.6</v>
      </c>
    </row>
    <row r="327" spans="10:10" x14ac:dyDescent="0.15">
      <c r="J327" s="20">
        <v>1.605</v>
      </c>
    </row>
    <row r="328" spans="10:10" x14ac:dyDescent="0.15">
      <c r="J328" s="20">
        <v>1.61</v>
      </c>
    </row>
    <row r="329" spans="10:10" x14ac:dyDescent="0.15">
      <c r="J329" s="20">
        <v>1.615</v>
      </c>
    </row>
    <row r="330" spans="10:10" x14ac:dyDescent="0.15">
      <c r="J330" s="20">
        <v>1.62</v>
      </c>
    </row>
    <row r="331" spans="10:10" x14ac:dyDescent="0.15">
      <c r="J331" s="20">
        <v>1.625</v>
      </c>
    </row>
    <row r="332" spans="10:10" x14ac:dyDescent="0.15">
      <c r="J332" s="20">
        <v>1.63</v>
      </c>
    </row>
    <row r="333" spans="10:10" x14ac:dyDescent="0.15">
      <c r="J333" s="20">
        <v>1.635</v>
      </c>
    </row>
    <row r="334" spans="10:10" x14ac:dyDescent="0.15">
      <c r="J334" s="20">
        <v>1.64</v>
      </c>
    </row>
    <row r="335" spans="10:10" x14ac:dyDescent="0.15">
      <c r="J335" s="20">
        <v>1.645</v>
      </c>
    </row>
    <row r="336" spans="10:10" x14ac:dyDescent="0.15">
      <c r="J336" s="20">
        <v>1.65</v>
      </c>
    </row>
    <row r="337" spans="10:10" x14ac:dyDescent="0.15">
      <c r="J337" s="20">
        <v>1.655</v>
      </c>
    </row>
    <row r="338" spans="10:10" x14ac:dyDescent="0.15">
      <c r="J338" s="20">
        <v>1.66</v>
      </c>
    </row>
    <row r="339" spans="10:10" x14ac:dyDescent="0.15">
      <c r="J339" s="20">
        <v>1.665</v>
      </c>
    </row>
    <row r="340" spans="10:10" x14ac:dyDescent="0.15">
      <c r="J340" s="20">
        <v>1.67</v>
      </c>
    </row>
    <row r="341" spans="10:10" x14ac:dyDescent="0.15">
      <c r="J341" s="20">
        <v>1.675</v>
      </c>
    </row>
    <row r="342" spans="10:10" x14ac:dyDescent="0.15">
      <c r="J342" s="20">
        <v>1.68</v>
      </c>
    </row>
    <row r="343" spans="10:10" x14ac:dyDescent="0.15">
      <c r="J343" s="20">
        <v>1.6850000000000001</v>
      </c>
    </row>
    <row r="344" spans="10:10" x14ac:dyDescent="0.15">
      <c r="J344" s="20">
        <v>1.69</v>
      </c>
    </row>
    <row r="345" spans="10:10" x14ac:dyDescent="0.15">
      <c r="J345" s="20">
        <v>1.6950000000000001</v>
      </c>
    </row>
    <row r="346" spans="10:10" x14ac:dyDescent="0.15">
      <c r="J346" s="20">
        <v>1.7</v>
      </c>
    </row>
    <row r="347" spans="10:10" x14ac:dyDescent="0.15">
      <c r="J347" s="20">
        <v>1.7050000000000001</v>
      </c>
    </row>
    <row r="348" spans="10:10" x14ac:dyDescent="0.15">
      <c r="J348" s="20">
        <v>1.71</v>
      </c>
    </row>
    <row r="349" spans="10:10" x14ac:dyDescent="0.15">
      <c r="J349" s="20">
        <v>1.7150000000000001</v>
      </c>
    </row>
    <row r="350" spans="10:10" x14ac:dyDescent="0.15">
      <c r="J350" s="20">
        <v>1.72</v>
      </c>
    </row>
    <row r="351" spans="10:10" x14ac:dyDescent="0.15">
      <c r="J351" s="20">
        <v>1.7250000000000001</v>
      </c>
    </row>
    <row r="352" spans="10:10" x14ac:dyDescent="0.15">
      <c r="J352" s="20">
        <v>1.73</v>
      </c>
    </row>
    <row r="353" spans="10:10" x14ac:dyDescent="0.15">
      <c r="J353" s="20">
        <v>1.7350000000000001</v>
      </c>
    </row>
    <row r="354" spans="10:10" x14ac:dyDescent="0.15">
      <c r="J354" s="20">
        <v>1.74</v>
      </c>
    </row>
    <row r="355" spans="10:10" x14ac:dyDescent="0.15">
      <c r="J355" s="20">
        <v>1.7450000000000001</v>
      </c>
    </row>
    <row r="356" spans="10:10" x14ac:dyDescent="0.15">
      <c r="J356" s="20">
        <v>1.75</v>
      </c>
    </row>
    <row r="357" spans="10:10" x14ac:dyDescent="0.15">
      <c r="J357" s="20">
        <v>1.7549999999999999</v>
      </c>
    </row>
    <row r="358" spans="10:10" x14ac:dyDescent="0.15">
      <c r="J358" s="20">
        <v>1.76</v>
      </c>
    </row>
    <row r="359" spans="10:10" x14ac:dyDescent="0.15">
      <c r="J359" s="20">
        <v>1.7649999999999999</v>
      </c>
    </row>
    <row r="360" spans="10:10" x14ac:dyDescent="0.15">
      <c r="J360" s="20">
        <v>1.77</v>
      </c>
    </row>
    <row r="361" spans="10:10" x14ac:dyDescent="0.15">
      <c r="J361" s="20">
        <v>1.7749999999999999</v>
      </c>
    </row>
    <row r="362" spans="10:10" x14ac:dyDescent="0.15">
      <c r="J362" s="20">
        <v>1.78</v>
      </c>
    </row>
    <row r="363" spans="10:10" x14ac:dyDescent="0.15">
      <c r="J363" s="20">
        <v>1.7849999999999999</v>
      </c>
    </row>
    <row r="364" spans="10:10" x14ac:dyDescent="0.15">
      <c r="J364" s="20">
        <v>1.79</v>
      </c>
    </row>
    <row r="365" spans="10:10" x14ac:dyDescent="0.15">
      <c r="J365" s="20">
        <v>1.7949999999999999</v>
      </c>
    </row>
    <row r="366" spans="10:10" x14ac:dyDescent="0.15">
      <c r="J366" s="20">
        <v>1.8</v>
      </c>
    </row>
    <row r="367" spans="10:10" x14ac:dyDescent="0.15">
      <c r="J367" s="20">
        <v>1.8049999999999999</v>
      </c>
    </row>
    <row r="368" spans="10:10" x14ac:dyDescent="0.15">
      <c r="J368" s="20">
        <v>1.81</v>
      </c>
    </row>
    <row r="369" spans="10:10" x14ac:dyDescent="0.15">
      <c r="J369" s="20">
        <v>1.8149999999999999</v>
      </c>
    </row>
    <row r="370" spans="10:10" x14ac:dyDescent="0.15">
      <c r="J370" s="20">
        <v>1.82</v>
      </c>
    </row>
    <row r="371" spans="10:10" x14ac:dyDescent="0.15">
      <c r="J371" s="20">
        <v>1.825</v>
      </c>
    </row>
    <row r="372" spans="10:10" x14ac:dyDescent="0.15">
      <c r="J372" s="20">
        <v>1.83</v>
      </c>
    </row>
    <row r="373" spans="10:10" x14ac:dyDescent="0.15">
      <c r="J373" s="20">
        <v>1.835</v>
      </c>
    </row>
    <row r="374" spans="10:10" x14ac:dyDescent="0.15">
      <c r="J374" s="20">
        <v>1.84</v>
      </c>
    </row>
    <row r="375" spans="10:10" x14ac:dyDescent="0.15">
      <c r="J375" s="20">
        <v>1.845</v>
      </c>
    </row>
    <row r="376" spans="10:10" x14ac:dyDescent="0.15">
      <c r="J376" s="20">
        <v>1.85</v>
      </c>
    </row>
    <row r="377" spans="10:10" x14ac:dyDescent="0.15">
      <c r="J377" s="20">
        <v>1.855</v>
      </c>
    </row>
    <row r="378" spans="10:10" x14ac:dyDescent="0.15">
      <c r="J378" s="20">
        <v>1.86</v>
      </c>
    </row>
    <row r="379" spans="10:10" x14ac:dyDescent="0.15">
      <c r="J379" s="20">
        <v>1.865</v>
      </c>
    </row>
    <row r="380" spans="10:10" x14ac:dyDescent="0.15">
      <c r="J380" s="20">
        <v>1.87</v>
      </c>
    </row>
    <row r="381" spans="10:10" x14ac:dyDescent="0.15">
      <c r="J381" s="20">
        <v>1.875</v>
      </c>
    </row>
    <row r="382" spans="10:10" x14ac:dyDescent="0.15">
      <c r="J382" s="20">
        <v>1.88</v>
      </c>
    </row>
    <row r="383" spans="10:10" x14ac:dyDescent="0.15">
      <c r="J383" s="20">
        <v>1.885</v>
      </c>
    </row>
    <row r="384" spans="10:10" x14ac:dyDescent="0.15">
      <c r="J384" s="20">
        <v>1.89</v>
      </c>
    </row>
    <row r="385" spans="10:10" x14ac:dyDescent="0.15">
      <c r="J385" s="20">
        <v>1.895</v>
      </c>
    </row>
    <row r="386" spans="10:10" x14ac:dyDescent="0.15">
      <c r="J386" s="20">
        <v>1.9</v>
      </c>
    </row>
    <row r="387" spans="10:10" x14ac:dyDescent="0.15">
      <c r="J387" s="20">
        <v>1.905</v>
      </c>
    </row>
    <row r="388" spans="10:10" x14ac:dyDescent="0.15">
      <c r="J388" s="20">
        <v>1.91</v>
      </c>
    </row>
    <row r="389" spans="10:10" x14ac:dyDescent="0.15">
      <c r="J389" s="20">
        <v>1.915</v>
      </c>
    </row>
    <row r="390" spans="10:10" x14ac:dyDescent="0.15">
      <c r="J390" s="20">
        <v>1.92</v>
      </c>
    </row>
    <row r="391" spans="10:10" x14ac:dyDescent="0.15">
      <c r="J391" s="20">
        <v>1.925</v>
      </c>
    </row>
    <row r="392" spans="10:10" x14ac:dyDescent="0.15">
      <c r="J392" s="20">
        <v>1.93</v>
      </c>
    </row>
    <row r="393" spans="10:10" x14ac:dyDescent="0.15">
      <c r="J393" s="20">
        <v>1.9350000000000001</v>
      </c>
    </row>
    <row r="394" spans="10:10" x14ac:dyDescent="0.15">
      <c r="J394" s="20">
        <v>1.94</v>
      </c>
    </row>
    <row r="395" spans="10:10" x14ac:dyDescent="0.15">
      <c r="J395" s="20">
        <v>1.9450000000000001</v>
      </c>
    </row>
    <row r="396" spans="10:10" x14ac:dyDescent="0.15">
      <c r="J396" s="20">
        <v>1.95</v>
      </c>
    </row>
    <row r="397" spans="10:10" x14ac:dyDescent="0.15">
      <c r="J397" s="20">
        <v>1.9550000000000001</v>
      </c>
    </row>
    <row r="398" spans="10:10" x14ac:dyDescent="0.15">
      <c r="J398" s="20">
        <v>1.96</v>
      </c>
    </row>
    <row r="399" spans="10:10" x14ac:dyDescent="0.15">
      <c r="J399" s="20">
        <v>1.9650000000000001</v>
      </c>
    </row>
    <row r="400" spans="10:10" x14ac:dyDescent="0.15">
      <c r="J400" s="20">
        <v>1.97</v>
      </c>
    </row>
    <row r="401" spans="10:10" x14ac:dyDescent="0.15">
      <c r="J401" s="20">
        <v>1.9750000000000001</v>
      </c>
    </row>
    <row r="402" spans="10:10" x14ac:dyDescent="0.15">
      <c r="J402" s="20">
        <v>1.98</v>
      </c>
    </row>
    <row r="403" spans="10:10" x14ac:dyDescent="0.15">
      <c r="J403" s="20">
        <v>1.9850000000000001</v>
      </c>
    </row>
    <row r="404" spans="10:10" x14ac:dyDescent="0.15">
      <c r="J404" s="20">
        <v>1.99</v>
      </c>
    </row>
    <row r="405" spans="10:10" x14ac:dyDescent="0.15">
      <c r="J405" s="20">
        <v>1.9950000000000001</v>
      </c>
    </row>
    <row r="406" spans="10:10" x14ac:dyDescent="0.15">
      <c r="J406" s="20">
        <v>2</v>
      </c>
    </row>
    <row r="407" spans="10:10" x14ac:dyDescent="0.15">
      <c r="J407" s="20">
        <v>2.0049999999999999</v>
      </c>
    </row>
    <row r="408" spans="10:10" x14ac:dyDescent="0.15">
      <c r="J408" s="20">
        <v>2.0099999999999998</v>
      </c>
    </row>
    <row r="409" spans="10:10" x14ac:dyDescent="0.15">
      <c r="J409" s="20">
        <v>2.0150000000000001</v>
      </c>
    </row>
    <row r="410" spans="10:10" x14ac:dyDescent="0.15">
      <c r="J410" s="20">
        <v>2.02</v>
      </c>
    </row>
    <row r="411" spans="10:10" x14ac:dyDescent="0.15">
      <c r="J411" s="20">
        <v>2.0249999999999999</v>
      </c>
    </row>
    <row r="412" spans="10:10" x14ac:dyDescent="0.15">
      <c r="J412" s="20">
        <v>2.0299999999999998</v>
      </c>
    </row>
    <row r="413" spans="10:10" x14ac:dyDescent="0.15">
      <c r="J413" s="20">
        <v>2.0350000000000001</v>
      </c>
    </row>
    <row r="414" spans="10:10" x14ac:dyDescent="0.15">
      <c r="J414" s="20">
        <v>2.04</v>
      </c>
    </row>
    <row r="415" spans="10:10" x14ac:dyDescent="0.15">
      <c r="J415" s="20">
        <v>2.0449999999999999</v>
      </c>
    </row>
    <row r="416" spans="10:10" x14ac:dyDescent="0.15">
      <c r="J416" s="20">
        <v>2.0499999999999998</v>
      </c>
    </row>
    <row r="417" spans="10:10" x14ac:dyDescent="0.15">
      <c r="J417" s="20">
        <v>2.0550000000000002</v>
      </c>
    </row>
    <row r="418" spans="10:10" x14ac:dyDescent="0.15">
      <c r="J418" s="20">
        <v>2.06</v>
      </c>
    </row>
    <row r="419" spans="10:10" x14ac:dyDescent="0.15">
      <c r="J419" s="20">
        <v>2.0649999999999999</v>
      </c>
    </row>
    <row r="420" spans="10:10" x14ac:dyDescent="0.15">
      <c r="J420" s="20">
        <v>2.0699999999999998</v>
      </c>
    </row>
    <row r="421" spans="10:10" x14ac:dyDescent="0.15">
      <c r="J421" s="20">
        <v>2.0750000000000002</v>
      </c>
    </row>
    <row r="422" spans="10:10" x14ac:dyDescent="0.15">
      <c r="J422" s="20">
        <v>2.08</v>
      </c>
    </row>
    <row r="423" spans="10:10" x14ac:dyDescent="0.15">
      <c r="J423" s="20">
        <v>2.085</v>
      </c>
    </row>
    <row r="424" spans="10:10" x14ac:dyDescent="0.15">
      <c r="J424" s="20">
        <v>2.09</v>
      </c>
    </row>
    <row r="425" spans="10:10" x14ac:dyDescent="0.15">
      <c r="J425" s="20">
        <v>2.0950000000000002</v>
      </c>
    </row>
    <row r="426" spans="10:10" x14ac:dyDescent="0.15">
      <c r="J426" s="20">
        <v>2.1</v>
      </c>
    </row>
    <row r="427" spans="10:10" x14ac:dyDescent="0.15">
      <c r="J427" s="20">
        <v>2.105</v>
      </c>
    </row>
    <row r="428" spans="10:10" x14ac:dyDescent="0.15">
      <c r="J428" s="20">
        <v>2.11</v>
      </c>
    </row>
    <row r="429" spans="10:10" x14ac:dyDescent="0.15">
      <c r="J429" s="20">
        <v>2.1150000000000002</v>
      </c>
    </row>
    <row r="430" spans="10:10" x14ac:dyDescent="0.15">
      <c r="J430" s="20">
        <v>2.12</v>
      </c>
    </row>
    <row r="431" spans="10:10" x14ac:dyDescent="0.15">
      <c r="J431" s="20">
        <v>2.125</v>
      </c>
    </row>
    <row r="432" spans="10:10" x14ac:dyDescent="0.15">
      <c r="J432" s="20">
        <v>2.13</v>
      </c>
    </row>
    <row r="433" spans="10:10" x14ac:dyDescent="0.15">
      <c r="J433" s="20">
        <v>2.1349999999999998</v>
      </c>
    </row>
    <row r="434" spans="10:10" x14ac:dyDescent="0.15">
      <c r="J434" s="20">
        <v>2.14</v>
      </c>
    </row>
    <row r="435" spans="10:10" x14ac:dyDescent="0.15">
      <c r="J435" s="20">
        <v>2.145</v>
      </c>
    </row>
    <row r="436" spans="10:10" x14ac:dyDescent="0.15">
      <c r="J436" s="20">
        <v>2.15</v>
      </c>
    </row>
    <row r="437" spans="10:10" x14ac:dyDescent="0.15">
      <c r="J437" s="20">
        <v>2.1549999999999998</v>
      </c>
    </row>
    <row r="438" spans="10:10" x14ac:dyDescent="0.15">
      <c r="J438" s="20">
        <v>2.16</v>
      </c>
    </row>
    <row r="439" spans="10:10" x14ac:dyDescent="0.15">
      <c r="J439" s="20">
        <v>2.165</v>
      </c>
    </row>
    <row r="440" spans="10:10" x14ac:dyDescent="0.15">
      <c r="J440" s="20">
        <v>2.17</v>
      </c>
    </row>
    <row r="441" spans="10:10" x14ac:dyDescent="0.15">
      <c r="J441" s="20">
        <v>2.1749999999999998</v>
      </c>
    </row>
    <row r="442" spans="10:10" x14ac:dyDescent="0.15">
      <c r="J442" s="20">
        <v>2.1800000000000002</v>
      </c>
    </row>
    <row r="443" spans="10:10" x14ac:dyDescent="0.15">
      <c r="J443" s="20">
        <v>2.1850000000000001</v>
      </c>
    </row>
    <row r="444" spans="10:10" x14ac:dyDescent="0.15">
      <c r="J444" s="20">
        <v>2.19</v>
      </c>
    </row>
    <row r="445" spans="10:10" x14ac:dyDescent="0.15">
      <c r="J445" s="20">
        <v>2.1949999999999998</v>
      </c>
    </row>
    <row r="446" spans="10:10" x14ac:dyDescent="0.15">
      <c r="J446" s="20">
        <v>2.2000000000000002</v>
      </c>
    </row>
    <row r="447" spans="10:10" x14ac:dyDescent="0.15">
      <c r="J447" s="20">
        <v>2.2050000000000001</v>
      </c>
    </row>
    <row r="448" spans="10:10" x14ac:dyDescent="0.15">
      <c r="J448" s="20">
        <v>2.21</v>
      </c>
    </row>
    <row r="449" spans="10:10" x14ac:dyDescent="0.15">
      <c r="J449" s="20">
        <v>2.2149999999999999</v>
      </c>
    </row>
    <row r="450" spans="10:10" x14ac:dyDescent="0.15">
      <c r="J450" s="20">
        <v>2.2200000000000002</v>
      </c>
    </row>
    <row r="451" spans="10:10" x14ac:dyDescent="0.15">
      <c r="J451" s="20">
        <v>2.2250000000000001</v>
      </c>
    </row>
    <row r="452" spans="10:10" x14ac:dyDescent="0.15">
      <c r="J452" s="20">
        <v>2.23</v>
      </c>
    </row>
    <row r="453" spans="10:10" x14ac:dyDescent="0.15">
      <c r="J453" s="20">
        <v>2.2349999999999999</v>
      </c>
    </row>
    <row r="454" spans="10:10" x14ac:dyDescent="0.15">
      <c r="J454" s="20">
        <v>2.2400000000000002</v>
      </c>
    </row>
    <row r="455" spans="10:10" x14ac:dyDescent="0.15">
      <c r="J455" s="20">
        <v>2.2450000000000001</v>
      </c>
    </row>
    <row r="456" spans="10:10" x14ac:dyDescent="0.15">
      <c r="J456" s="20">
        <v>2.25</v>
      </c>
    </row>
    <row r="457" spans="10:10" x14ac:dyDescent="0.15">
      <c r="J457" s="20">
        <v>2.2549999999999999</v>
      </c>
    </row>
    <row r="458" spans="10:10" x14ac:dyDescent="0.15">
      <c r="J458" s="20">
        <v>2.2599999999999998</v>
      </c>
    </row>
    <row r="459" spans="10:10" x14ac:dyDescent="0.15">
      <c r="J459" s="20">
        <v>2.2650000000000001</v>
      </c>
    </row>
    <row r="460" spans="10:10" x14ac:dyDescent="0.15">
      <c r="J460" s="20">
        <v>2.27</v>
      </c>
    </row>
    <row r="461" spans="10:10" x14ac:dyDescent="0.15">
      <c r="J461" s="20">
        <v>2.2749999999999999</v>
      </c>
    </row>
    <row r="462" spans="10:10" x14ac:dyDescent="0.15">
      <c r="J462" s="20">
        <v>2.2799999999999998</v>
      </c>
    </row>
    <row r="463" spans="10:10" x14ac:dyDescent="0.15">
      <c r="J463" s="20">
        <v>2.2850000000000001</v>
      </c>
    </row>
    <row r="464" spans="10:10" x14ac:dyDescent="0.15">
      <c r="J464" s="20">
        <v>2.29</v>
      </c>
    </row>
    <row r="465" spans="10:10" x14ac:dyDescent="0.15">
      <c r="J465" s="20">
        <v>2.2949999999999999</v>
      </c>
    </row>
    <row r="466" spans="10:10" x14ac:dyDescent="0.15">
      <c r="J466" s="20">
        <v>2.2999999999999998</v>
      </c>
    </row>
    <row r="467" spans="10:10" x14ac:dyDescent="0.15">
      <c r="J467" s="20">
        <v>2.3050000000000002</v>
      </c>
    </row>
    <row r="468" spans="10:10" x14ac:dyDescent="0.15">
      <c r="J468" s="20">
        <v>2.31</v>
      </c>
    </row>
    <row r="469" spans="10:10" x14ac:dyDescent="0.15">
      <c r="J469" s="20">
        <v>2.3149999999999999</v>
      </c>
    </row>
    <row r="470" spans="10:10" x14ac:dyDescent="0.15">
      <c r="J470" s="20">
        <v>2.3199999999999998</v>
      </c>
    </row>
    <row r="471" spans="10:10" x14ac:dyDescent="0.15">
      <c r="J471" s="20">
        <v>2.3250000000000002</v>
      </c>
    </row>
    <row r="472" spans="10:10" x14ac:dyDescent="0.15">
      <c r="J472" s="20">
        <v>2.33</v>
      </c>
    </row>
    <row r="473" spans="10:10" x14ac:dyDescent="0.15">
      <c r="J473" s="20">
        <v>2.335</v>
      </c>
    </row>
    <row r="474" spans="10:10" x14ac:dyDescent="0.15">
      <c r="J474" s="20">
        <v>2.34</v>
      </c>
    </row>
    <row r="475" spans="10:10" x14ac:dyDescent="0.15">
      <c r="J475" s="20">
        <v>2.3450000000000002</v>
      </c>
    </row>
    <row r="476" spans="10:10" x14ac:dyDescent="0.15">
      <c r="J476" s="20">
        <v>2.35</v>
      </c>
    </row>
    <row r="477" spans="10:10" x14ac:dyDescent="0.15">
      <c r="J477" s="20">
        <v>2.355</v>
      </c>
    </row>
    <row r="478" spans="10:10" x14ac:dyDescent="0.15">
      <c r="J478" s="20">
        <v>2.36</v>
      </c>
    </row>
    <row r="479" spans="10:10" x14ac:dyDescent="0.15">
      <c r="J479" s="20">
        <v>2.3650000000000002</v>
      </c>
    </row>
    <row r="480" spans="10:10" x14ac:dyDescent="0.15">
      <c r="J480" s="20">
        <v>2.37</v>
      </c>
    </row>
    <row r="481" spans="10:10" x14ac:dyDescent="0.15">
      <c r="J481" s="20">
        <v>2.375</v>
      </c>
    </row>
    <row r="482" spans="10:10" x14ac:dyDescent="0.15">
      <c r="J482" s="20">
        <v>2.38</v>
      </c>
    </row>
    <row r="483" spans="10:10" x14ac:dyDescent="0.15">
      <c r="J483" s="20">
        <v>2.3849999999999998</v>
      </c>
    </row>
    <row r="484" spans="10:10" x14ac:dyDescent="0.15">
      <c r="J484" s="20">
        <v>2.39</v>
      </c>
    </row>
    <row r="485" spans="10:10" x14ac:dyDescent="0.15">
      <c r="J485" s="20">
        <v>2.395</v>
      </c>
    </row>
    <row r="486" spans="10:10" x14ac:dyDescent="0.15">
      <c r="J486" s="20">
        <v>2.4</v>
      </c>
    </row>
    <row r="487" spans="10:10" x14ac:dyDescent="0.15">
      <c r="J487" s="20">
        <v>2.4049999999999998</v>
      </c>
    </row>
    <row r="488" spans="10:10" x14ac:dyDescent="0.15">
      <c r="J488" s="20">
        <v>2.41</v>
      </c>
    </row>
    <row r="489" spans="10:10" x14ac:dyDescent="0.15">
      <c r="J489" s="20">
        <v>2.415</v>
      </c>
    </row>
    <row r="490" spans="10:10" x14ac:dyDescent="0.15">
      <c r="J490" s="20">
        <v>2.42</v>
      </c>
    </row>
    <row r="491" spans="10:10" x14ac:dyDescent="0.15">
      <c r="J491" s="20">
        <v>2.4249999999999998</v>
      </c>
    </row>
    <row r="492" spans="10:10" x14ac:dyDescent="0.15">
      <c r="J492" s="20">
        <v>2.4300000000000002</v>
      </c>
    </row>
    <row r="493" spans="10:10" x14ac:dyDescent="0.15">
      <c r="J493" s="20">
        <v>2.4350000000000001</v>
      </c>
    </row>
    <row r="494" spans="10:10" x14ac:dyDescent="0.15">
      <c r="J494" s="20">
        <v>2.44</v>
      </c>
    </row>
    <row r="495" spans="10:10" x14ac:dyDescent="0.15">
      <c r="J495" s="20">
        <v>2.4449999999999998</v>
      </c>
    </row>
    <row r="496" spans="10:10" x14ac:dyDescent="0.15">
      <c r="J496" s="20">
        <v>2.4500000000000002</v>
      </c>
    </row>
    <row r="497" spans="10:10" x14ac:dyDescent="0.15">
      <c r="J497" s="20">
        <v>2.4550000000000001</v>
      </c>
    </row>
    <row r="498" spans="10:10" x14ac:dyDescent="0.15">
      <c r="J498" s="20">
        <v>2.46</v>
      </c>
    </row>
    <row r="499" spans="10:10" x14ac:dyDescent="0.15">
      <c r="J499" s="20">
        <v>2.4649999999999999</v>
      </c>
    </row>
    <row r="500" spans="10:10" x14ac:dyDescent="0.15">
      <c r="J500" s="20">
        <v>2.4700000000000002</v>
      </c>
    </row>
    <row r="501" spans="10:10" x14ac:dyDescent="0.15">
      <c r="J501" s="20">
        <v>2.4750000000000001</v>
      </c>
    </row>
    <row r="502" spans="10:10" x14ac:dyDescent="0.15">
      <c r="J502" s="20">
        <v>2.48</v>
      </c>
    </row>
    <row r="503" spans="10:10" x14ac:dyDescent="0.15">
      <c r="J503" s="20">
        <v>2.4849999999999999</v>
      </c>
    </row>
    <row r="504" spans="10:10" x14ac:dyDescent="0.15">
      <c r="J504" s="20">
        <v>2.4900000000000002</v>
      </c>
    </row>
    <row r="505" spans="10:10" x14ac:dyDescent="0.15">
      <c r="J505" s="20">
        <v>2.4950000000000001</v>
      </c>
    </row>
    <row r="506" spans="10:10" x14ac:dyDescent="0.15">
      <c r="J506" s="20">
        <v>2.5</v>
      </c>
    </row>
    <row r="507" spans="10:10" x14ac:dyDescent="0.15">
      <c r="J507" s="20">
        <v>2.5049999999999999</v>
      </c>
    </row>
    <row r="508" spans="10:10" x14ac:dyDescent="0.15">
      <c r="J508" s="20">
        <v>2.5099999999999998</v>
      </c>
    </row>
    <row r="509" spans="10:10" x14ac:dyDescent="0.15">
      <c r="J509" s="20">
        <v>2.5150000000000001</v>
      </c>
    </row>
    <row r="510" spans="10:10" x14ac:dyDescent="0.15">
      <c r="J510" s="20">
        <v>2.52</v>
      </c>
    </row>
    <row r="511" spans="10:10" x14ac:dyDescent="0.15">
      <c r="J511" s="20">
        <v>2.5249999999999999</v>
      </c>
    </row>
    <row r="512" spans="10:10" x14ac:dyDescent="0.15">
      <c r="J512" s="20">
        <v>2.5299999999999998</v>
      </c>
    </row>
    <row r="513" spans="10:10" x14ac:dyDescent="0.15">
      <c r="J513" s="20">
        <v>2.5350000000000001</v>
      </c>
    </row>
    <row r="514" spans="10:10" x14ac:dyDescent="0.15">
      <c r="J514" s="20">
        <v>2.54</v>
      </c>
    </row>
    <row r="515" spans="10:10" x14ac:dyDescent="0.15">
      <c r="J515" s="20">
        <v>2.5449999999999999</v>
      </c>
    </row>
    <row r="516" spans="10:10" x14ac:dyDescent="0.15">
      <c r="J516" s="20">
        <v>2.5499999999999998</v>
      </c>
    </row>
    <row r="517" spans="10:10" x14ac:dyDescent="0.15">
      <c r="J517" s="20">
        <v>2.5550000000000002</v>
      </c>
    </row>
    <row r="518" spans="10:10" x14ac:dyDescent="0.15">
      <c r="J518" s="20">
        <v>2.56</v>
      </c>
    </row>
    <row r="519" spans="10:10" x14ac:dyDescent="0.15">
      <c r="J519" s="20">
        <v>2.5649999999999999</v>
      </c>
    </row>
    <row r="520" spans="10:10" x14ac:dyDescent="0.15">
      <c r="J520" s="20">
        <v>2.57</v>
      </c>
    </row>
    <row r="521" spans="10:10" x14ac:dyDescent="0.15">
      <c r="J521" s="20">
        <v>2.5750000000000002</v>
      </c>
    </row>
    <row r="522" spans="10:10" x14ac:dyDescent="0.15">
      <c r="J522" s="20">
        <v>2.58</v>
      </c>
    </row>
    <row r="523" spans="10:10" x14ac:dyDescent="0.15">
      <c r="J523" s="20">
        <v>2.585</v>
      </c>
    </row>
    <row r="524" spans="10:10" x14ac:dyDescent="0.15">
      <c r="J524" s="20">
        <v>2.59</v>
      </c>
    </row>
    <row r="525" spans="10:10" x14ac:dyDescent="0.15">
      <c r="J525" s="20">
        <v>2.5950000000000002</v>
      </c>
    </row>
    <row r="526" spans="10:10" x14ac:dyDescent="0.15">
      <c r="J526" s="20">
        <v>2.6</v>
      </c>
    </row>
    <row r="527" spans="10:10" x14ac:dyDescent="0.15">
      <c r="J527" s="20">
        <v>2.605</v>
      </c>
    </row>
    <row r="528" spans="10:10" x14ac:dyDescent="0.15">
      <c r="J528" s="20">
        <v>2.61</v>
      </c>
    </row>
    <row r="529" spans="10:10" x14ac:dyDescent="0.15">
      <c r="J529" s="20">
        <v>2.6150000000000002</v>
      </c>
    </row>
    <row r="530" spans="10:10" x14ac:dyDescent="0.15">
      <c r="J530" s="20">
        <v>2.62</v>
      </c>
    </row>
    <row r="531" spans="10:10" x14ac:dyDescent="0.15">
      <c r="J531" s="20">
        <v>2.625</v>
      </c>
    </row>
    <row r="532" spans="10:10" x14ac:dyDescent="0.15">
      <c r="J532" s="20">
        <v>2.63</v>
      </c>
    </row>
    <row r="533" spans="10:10" x14ac:dyDescent="0.15">
      <c r="J533" s="20">
        <v>2.6349999999999998</v>
      </c>
    </row>
    <row r="534" spans="10:10" x14ac:dyDescent="0.15">
      <c r="J534" s="20">
        <v>2.64</v>
      </c>
    </row>
    <row r="535" spans="10:10" x14ac:dyDescent="0.15">
      <c r="J535" s="20">
        <v>2.645</v>
      </c>
    </row>
    <row r="536" spans="10:10" x14ac:dyDescent="0.15">
      <c r="J536" s="20">
        <v>2.65</v>
      </c>
    </row>
    <row r="537" spans="10:10" x14ac:dyDescent="0.15">
      <c r="J537" s="20">
        <v>2.6549999999999998</v>
      </c>
    </row>
    <row r="538" spans="10:10" x14ac:dyDescent="0.15">
      <c r="J538" s="20">
        <v>2.66</v>
      </c>
    </row>
    <row r="539" spans="10:10" x14ac:dyDescent="0.15">
      <c r="J539" s="20">
        <v>2.665</v>
      </c>
    </row>
    <row r="540" spans="10:10" x14ac:dyDescent="0.15">
      <c r="J540" s="20">
        <v>2.67</v>
      </c>
    </row>
    <row r="541" spans="10:10" x14ac:dyDescent="0.15">
      <c r="J541" s="20">
        <v>2.6749999999999998</v>
      </c>
    </row>
    <row r="542" spans="10:10" x14ac:dyDescent="0.15">
      <c r="J542" s="20">
        <v>2.68</v>
      </c>
    </row>
    <row r="543" spans="10:10" x14ac:dyDescent="0.15">
      <c r="J543" s="20">
        <v>2.6850000000000001</v>
      </c>
    </row>
    <row r="544" spans="10:10" x14ac:dyDescent="0.15">
      <c r="J544" s="20">
        <v>2.69</v>
      </c>
    </row>
    <row r="545" spans="10:10" x14ac:dyDescent="0.15">
      <c r="J545" s="20">
        <v>2.6949999999999998</v>
      </c>
    </row>
    <row r="546" spans="10:10" x14ac:dyDescent="0.15">
      <c r="J546" s="20">
        <v>2.7</v>
      </c>
    </row>
    <row r="547" spans="10:10" x14ac:dyDescent="0.15">
      <c r="J547" s="20">
        <v>2.7050000000000001</v>
      </c>
    </row>
    <row r="548" spans="10:10" x14ac:dyDescent="0.15">
      <c r="J548" s="20">
        <v>2.71</v>
      </c>
    </row>
    <row r="549" spans="10:10" x14ac:dyDescent="0.15">
      <c r="J549" s="20">
        <v>2.7149999999999999</v>
      </c>
    </row>
    <row r="550" spans="10:10" x14ac:dyDescent="0.15">
      <c r="J550" s="20">
        <v>2.72</v>
      </c>
    </row>
    <row r="551" spans="10:10" x14ac:dyDescent="0.15">
      <c r="J551" s="20">
        <v>2.7250000000000001</v>
      </c>
    </row>
    <row r="552" spans="10:10" x14ac:dyDescent="0.15">
      <c r="J552" s="20">
        <v>2.73</v>
      </c>
    </row>
    <row r="553" spans="10:10" x14ac:dyDescent="0.15">
      <c r="J553" s="20">
        <v>2.7349999999999999</v>
      </c>
    </row>
    <row r="554" spans="10:10" x14ac:dyDescent="0.15">
      <c r="J554" s="20">
        <v>2.74</v>
      </c>
    </row>
    <row r="555" spans="10:10" x14ac:dyDescent="0.15">
      <c r="J555" s="20">
        <v>2.7450000000000001</v>
      </c>
    </row>
    <row r="556" spans="10:10" x14ac:dyDescent="0.15">
      <c r="J556" s="20">
        <v>2.75</v>
      </c>
    </row>
    <row r="557" spans="10:10" x14ac:dyDescent="0.15">
      <c r="J557" s="20">
        <v>2.7549999999999999</v>
      </c>
    </row>
    <row r="558" spans="10:10" x14ac:dyDescent="0.15">
      <c r="J558" s="20">
        <v>2.76</v>
      </c>
    </row>
    <row r="559" spans="10:10" x14ac:dyDescent="0.15">
      <c r="J559" s="20">
        <v>2.7650000000000001</v>
      </c>
    </row>
    <row r="560" spans="10:10" x14ac:dyDescent="0.15">
      <c r="J560" s="20">
        <v>2.77</v>
      </c>
    </row>
    <row r="561" spans="10:10" x14ac:dyDescent="0.15">
      <c r="J561" s="20">
        <v>2.7749999999999999</v>
      </c>
    </row>
    <row r="562" spans="10:10" x14ac:dyDescent="0.15">
      <c r="J562" s="20">
        <v>2.78</v>
      </c>
    </row>
    <row r="563" spans="10:10" x14ac:dyDescent="0.15">
      <c r="J563" s="20">
        <v>2.7850000000000001</v>
      </c>
    </row>
    <row r="564" spans="10:10" x14ac:dyDescent="0.15">
      <c r="J564" s="20">
        <v>2.79</v>
      </c>
    </row>
    <row r="565" spans="10:10" x14ac:dyDescent="0.15">
      <c r="J565" s="20">
        <v>2.7949999999999999</v>
      </c>
    </row>
    <row r="566" spans="10:10" x14ac:dyDescent="0.15">
      <c r="J566" s="20">
        <v>2.8</v>
      </c>
    </row>
    <row r="567" spans="10:10" x14ac:dyDescent="0.15">
      <c r="J567" s="20">
        <v>2.8050000000000002</v>
      </c>
    </row>
    <row r="568" spans="10:10" x14ac:dyDescent="0.15">
      <c r="J568" s="20">
        <v>2.81</v>
      </c>
    </row>
    <row r="569" spans="10:10" x14ac:dyDescent="0.15">
      <c r="J569" s="20">
        <v>2.8149999999999999</v>
      </c>
    </row>
    <row r="570" spans="10:10" x14ac:dyDescent="0.15">
      <c r="J570" s="20">
        <v>2.82</v>
      </c>
    </row>
    <row r="571" spans="10:10" x14ac:dyDescent="0.15">
      <c r="J571" s="20">
        <v>2.8250000000000002</v>
      </c>
    </row>
    <row r="572" spans="10:10" x14ac:dyDescent="0.15">
      <c r="J572" s="20">
        <v>2.83</v>
      </c>
    </row>
    <row r="573" spans="10:10" x14ac:dyDescent="0.15">
      <c r="J573" s="20">
        <v>2.835</v>
      </c>
    </row>
    <row r="574" spans="10:10" x14ac:dyDescent="0.15">
      <c r="J574" s="20">
        <v>2.84</v>
      </c>
    </row>
    <row r="575" spans="10:10" x14ac:dyDescent="0.15">
      <c r="J575" s="20">
        <v>2.8450000000000002</v>
      </c>
    </row>
    <row r="576" spans="10:10" x14ac:dyDescent="0.15">
      <c r="J576" s="20">
        <v>2.85</v>
      </c>
    </row>
    <row r="577" spans="10:10" x14ac:dyDescent="0.15">
      <c r="J577" s="20">
        <v>2.855</v>
      </c>
    </row>
    <row r="578" spans="10:10" x14ac:dyDescent="0.15">
      <c r="J578" s="20">
        <v>2.86</v>
      </c>
    </row>
    <row r="579" spans="10:10" x14ac:dyDescent="0.15">
      <c r="J579" s="20">
        <v>2.8650000000000002</v>
      </c>
    </row>
    <row r="580" spans="10:10" x14ac:dyDescent="0.15">
      <c r="J580" s="20">
        <v>2.87</v>
      </c>
    </row>
    <row r="581" spans="10:10" x14ac:dyDescent="0.15">
      <c r="J581" s="20">
        <v>2.875</v>
      </c>
    </row>
    <row r="582" spans="10:10" x14ac:dyDescent="0.15">
      <c r="J582" s="20">
        <v>2.88</v>
      </c>
    </row>
    <row r="583" spans="10:10" x14ac:dyDescent="0.15">
      <c r="J583" s="20">
        <v>2.8849999999999998</v>
      </c>
    </row>
    <row r="584" spans="10:10" x14ac:dyDescent="0.15">
      <c r="J584" s="20">
        <v>2.89</v>
      </c>
    </row>
    <row r="585" spans="10:10" x14ac:dyDescent="0.15">
      <c r="J585" s="20">
        <v>2.895</v>
      </c>
    </row>
    <row r="586" spans="10:10" x14ac:dyDescent="0.15">
      <c r="J586" s="20">
        <v>2.9</v>
      </c>
    </row>
    <row r="587" spans="10:10" x14ac:dyDescent="0.15">
      <c r="J587" s="20">
        <v>2.9049999999999998</v>
      </c>
    </row>
    <row r="588" spans="10:10" x14ac:dyDescent="0.15">
      <c r="J588" s="20">
        <v>2.91</v>
      </c>
    </row>
    <row r="589" spans="10:10" x14ac:dyDescent="0.15">
      <c r="J589" s="20">
        <v>2.915</v>
      </c>
    </row>
    <row r="590" spans="10:10" x14ac:dyDescent="0.15">
      <c r="J590" s="20">
        <v>2.92</v>
      </c>
    </row>
    <row r="591" spans="10:10" x14ac:dyDescent="0.15">
      <c r="J591" s="20">
        <v>2.9249999999999998</v>
      </c>
    </row>
    <row r="592" spans="10:10" x14ac:dyDescent="0.15">
      <c r="J592" s="20">
        <v>2.93</v>
      </c>
    </row>
    <row r="593" spans="10:10" x14ac:dyDescent="0.15">
      <c r="J593" s="20">
        <v>2.9350000000000001</v>
      </c>
    </row>
    <row r="594" spans="10:10" x14ac:dyDescent="0.15">
      <c r="J594" s="20">
        <v>2.94</v>
      </c>
    </row>
    <row r="595" spans="10:10" x14ac:dyDescent="0.15">
      <c r="J595" s="20">
        <v>2.9449999999999998</v>
      </c>
    </row>
    <row r="596" spans="10:10" x14ac:dyDescent="0.15">
      <c r="J596" s="20">
        <v>2.95</v>
      </c>
    </row>
    <row r="597" spans="10:10" x14ac:dyDescent="0.15">
      <c r="J597" s="20">
        <v>2.9550000000000001</v>
      </c>
    </row>
    <row r="598" spans="10:10" x14ac:dyDescent="0.15">
      <c r="J598" s="20">
        <v>2.96</v>
      </c>
    </row>
    <row r="599" spans="10:10" x14ac:dyDescent="0.15">
      <c r="J599" s="20">
        <v>2.9649999999999999</v>
      </c>
    </row>
    <row r="600" spans="10:10" x14ac:dyDescent="0.15">
      <c r="J600" s="20">
        <v>2.97</v>
      </c>
    </row>
    <row r="601" spans="10:10" x14ac:dyDescent="0.15">
      <c r="J601" s="20">
        <v>2.9750000000000001</v>
      </c>
    </row>
    <row r="602" spans="10:10" x14ac:dyDescent="0.15">
      <c r="J602" s="20">
        <v>2.98</v>
      </c>
    </row>
    <row r="603" spans="10:10" x14ac:dyDescent="0.15">
      <c r="J603" s="20">
        <v>2.9849999999999999</v>
      </c>
    </row>
    <row r="604" spans="10:10" x14ac:dyDescent="0.15">
      <c r="J604" s="20">
        <v>2.99</v>
      </c>
    </row>
    <row r="605" spans="10:10" x14ac:dyDescent="0.15">
      <c r="J605" s="20">
        <v>2.9950000000000001</v>
      </c>
    </row>
    <row r="606" spans="10:10" x14ac:dyDescent="0.15">
      <c r="J606" s="20">
        <v>3</v>
      </c>
    </row>
    <row r="607" spans="10:10" x14ac:dyDescent="0.15">
      <c r="J607" s="20">
        <v>3.0049999999999999</v>
      </c>
    </row>
    <row r="608" spans="10:10" x14ac:dyDescent="0.15">
      <c r="J608" s="20">
        <v>3.01</v>
      </c>
    </row>
    <row r="609" spans="10:10" x14ac:dyDescent="0.15">
      <c r="J609" s="20">
        <v>3.0150000000000001</v>
      </c>
    </row>
    <row r="610" spans="10:10" x14ac:dyDescent="0.15">
      <c r="J610" s="20">
        <v>3.02</v>
      </c>
    </row>
    <row r="611" spans="10:10" x14ac:dyDescent="0.15">
      <c r="J611" s="20">
        <v>3.0249999999999999</v>
      </c>
    </row>
    <row r="612" spans="10:10" x14ac:dyDescent="0.15">
      <c r="J612" s="20">
        <v>3.03</v>
      </c>
    </row>
    <row r="613" spans="10:10" x14ac:dyDescent="0.15">
      <c r="J613" s="20">
        <v>3.0350000000000001</v>
      </c>
    </row>
    <row r="614" spans="10:10" x14ac:dyDescent="0.15">
      <c r="J614" s="20">
        <v>3.04</v>
      </c>
    </row>
    <row r="615" spans="10:10" x14ac:dyDescent="0.15">
      <c r="J615" s="20">
        <v>3.0449999999999999</v>
      </c>
    </row>
    <row r="616" spans="10:10" x14ac:dyDescent="0.15">
      <c r="J616" s="20">
        <v>3.05</v>
      </c>
    </row>
    <row r="617" spans="10:10" x14ac:dyDescent="0.15">
      <c r="J617" s="20">
        <v>3.0550000000000002</v>
      </c>
    </row>
    <row r="618" spans="10:10" x14ac:dyDescent="0.15">
      <c r="J618" s="20">
        <v>3.06</v>
      </c>
    </row>
    <row r="619" spans="10:10" x14ac:dyDescent="0.15">
      <c r="J619" s="20">
        <v>3.0649999999999999</v>
      </c>
    </row>
    <row r="620" spans="10:10" x14ac:dyDescent="0.15">
      <c r="J620" s="20">
        <v>3.07</v>
      </c>
    </row>
    <row r="621" spans="10:10" x14ac:dyDescent="0.15">
      <c r="J621" s="20">
        <v>3.0750000000000002</v>
      </c>
    </row>
    <row r="622" spans="10:10" x14ac:dyDescent="0.15">
      <c r="J622" s="20">
        <v>3.08</v>
      </c>
    </row>
    <row r="623" spans="10:10" x14ac:dyDescent="0.15">
      <c r="J623" s="20">
        <v>3.085</v>
      </c>
    </row>
    <row r="624" spans="10:10" x14ac:dyDescent="0.15">
      <c r="J624" s="20">
        <v>3.09</v>
      </c>
    </row>
    <row r="625" spans="10:10" x14ac:dyDescent="0.15">
      <c r="J625" s="20">
        <v>3.0950000000000002</v>
      </c>
    </row>
    <row r="626" spans="10:10" x14ac:dyDescent="0.15">
      <c r="J626" s="20">
        <v>3.1</v>
      </c>
    </row>
    <row r="627" spans="10:10" x14ac:dyDescent="0.15">
      <c r="J627" s="20">
        <v>3.105</v>
      </c>
    </row>
    <row r="628" spans="10:10" x14ac:dyDescent="0.15">
      <c r="J628" s="20">
        <v>3.11</v>
      </c>
    </row>
    <row r="629" spans="10:10" x14ac:dyDescent="0.15">
      <c r="J629" s="20">
        <v>3.1150000000000002</v>
      </c>
    </row>
    <row r="630" spans="10:10" x14ac:dyDescent="0.15">
      <c r="J630" s="20">
        <v>3.12</v>
      </c>
    </row>
    <row r="631" spans="10:10" x14ac:dyDescent="0.15">
      <c r="J631" s="20">
        <v>3.125</v>
      </c>
    </row>
    <row r="632" spans="10:10" x14ac:dyDescent="0.15">
      <c r="J632" s="20">
        <v>3.13</v>
      </c>
    </row>
    <row r="633" spans="10:10" x14ac:dyDescent="0.15">
      <c r="J633" s="20">
        <v>3.1349999999999998</v>
      </c>
    </row>
    <row r="634" spans="10:10" x14ac:dyDescent="0.15">
      <c r="J634" s="20">
        <v>3.14</v>
      </c>
    </row>
    <row r="635" spans="10:10" x14ac:dyDescent="0.15">
      <c r="J635" s="20">
        <v>3.145</v>
      </c>
    </row>
    <row r="636" spans="10:10" x14ac:dyDescent="0.15">
      <c r="J636" s="20">
        <v>3.15</v>
      </c>
    </row>
    <row r="637" spans="10:10" x14ac:dyDescent="0.15">
      <c r="J637" s="20">
        <v>3.1549999999999998</v>
      </c>
    </row>
    <row r="638" spans="10:10" x14ac:dyDescent="0.15">
      <c r="J638" s="20">
        <v>3.16</v>
      </c>
    </row>
    <row r="639" spans="10:10" x14ac:dyDescent="0.15">
      <c r="J639" s="20">
        <v>3.165</v>
      </c>
    </row>
    <row r="640" spans="10:10" x14ac:dyDescent="0.15">
      <c r="J640" s="20">
        <v>3.17</v>
      </c>
    </row>
    <row r="641" spans="10:10" x14ac:dyDescent="0.15">
      <c r="J641" s="20">
        <v>3.1749999999999998</v>
      </c>
    </row>
    <row r="642" spans="10:10" x14ac:dyDescent="0.15">
      <c r="J642" s="20">
        <v>3.18</v>
      </c>
    </row>
    <row r="643" spans="10:10" x14ac:dyDescent="0.15">
      <c r="J643" s="20">
        <v>3.1850000000000001</v>
      </c>
    </row>
    <row r="644" spans="10:10" x14ac:dyDescent="0.15">
      <c r="J644" s="20">
        <v>3.19</v>
      </c>
    </row>
    <row r="645" spans="10:10" x14ac:dyDescent="0.15">
      <c r="J645" s="20">
        <v>3.1949999999999998</v>
      </c>
    </row>
    <row r="646" spans="10:10" x14ac:dyDescent="0.15">
      <c r="J646" s="20">
        <v>3.2</v>
      </c>
    </row>
    <row r="647" spans="10:10" x14ac:dyDescent="0.15">
      <c r="J647" s="20">
        <v>3.2050000000000001</v>
      </c>
    </row>
    <row r="648" spans="10:10" x14ac:dyDescent="0.15">
      <c r="J648" s="20">
        <v>3.21</v>
      </c>
    </row>
    <row r="649" spans="10:10" x14ac:dyDescent="0.15">
      <c r="J649" s="20">
        <v>3.2149999999999999</v>
      </c>
    </row>
    <row r="650" spans="10:10" x14ac:dyDescent="0.15">
      <c r="J650" s="20">
        <v>3.22</v>
      </c>
    </row>
    <row r="651" spans="10:10" x14ac:dyDescent="0.15">
      <c r="J651" s="20">
        <v>3.2250000000000001</v>
      </c>
    </row>
    <row r="652" spans="10:10" x14ac:dyDescent="0.15">
      <c r="J652" s="20">
        <v>3.23</v>
      </c>
    </row>
    <row r="653" spans="10:10" x14ac:dyDescent="0.15">
      <c r="J653" s="20">
        <v>3.2349999999999999</v>
      </c>
    </row>
    <row r="654" spans="10:10" x14ac:dyDescent="0.15">
      <c r="J654" s="20">
        <v>3.24</v>
      </c>
    </row>
    <row r="655" spans="10:10" x14ac:dyDescent="0.15">
      <c r="J655" s="20">
        <v>3.2450000000000001</v>
      </c>
    </row>
    <row r="656" spans="10:10" x14ac:dyDescent="0.15">
      <c r="J656" s="20">
        <v>3.25</v>
      </c>
    </row>
    <row r="657" spans="10:10" x14ac:dyDescent="0.15">
      <c r="J657" s="20">
        <v>3.2549999999999999</v>
      </c>
    </row>
    <row r="658" spans="10:10" x14ac:dyDescent="0.15">
      <c r="J658" s="20">
        <v>3.26</v>
      </c>
    </row>
    <row r="659" spans="10:10" x14ac:dyDescent="0.15">
      <c r="J659" s="20">
        <v>3.2650000000000001</v>
      </c>
    </row>
    <row r="660" spans="10:10" x14ac:dyDescent="0.15">
      <c r="J660" s="20">
        <v>3.27</v>
      </c>
    </row>
    <row r="661" spans="10:10" x14ac:dyDescent="0.15">
      <c r="J661" s="20">
        <v>3.2749999999999999</v>
      </c>
    </row>
    <row r="662" spans="10:10" x14ac:dyDescent="0.15">
      <c r="J662" s="20">
        <v>3.28</v>
      </c>
    </row>
    <row r="663" spans="10:10" x14ac:dyDescent="0.15">
      <c r="J663" s="20">
        <v>3.2850000000000001</v>
      </c>
    </row>
    <row r="664" spans="10:10" x14ac:dyDescent="0.15">
      <c r="J664" s="20">
        <v>3.29</v>
      </c>
    </row>
    <row r="665" spans="10:10" x14ac:dyDescent="0.15">
      <c r="J665" s="20">
        <v>3.2949999999999999</v>
      </c>
    </row>
    <row r="666" spans="10:10" x14ac:dyDescent="0.15">
      <c r="J666" s="20">
        <v>3.3</v>
      </c>
    </row>
    <row r="667" spans="10:10" x14ac:dyDescent="0.15">
      <c r="J667" s="20">
        <v>3.3050000000000002</v>
      </c>
    </row>
    <row r="668" spans="10:10" x14ac:dyDescent="0.15">
      <c r="J668" s="20">
        <v>3.31</v>
      </c>
    </row>
    <row r="669" spans="10:10" x14ac:dyDescent="0.15">
      <c r="J669" s="20">
        <v>3.3149999999999999</v>
      </c>
    </row>
    <row r="670" spans="10:10" x14ac:dyDescent="0.15">
      <c r="J670" s="20">
        <v>3.32</v>
      </c>
    </row>
    <row r="671" spans="10:10" x14ac:dyDescent="0.15">
      <c r="J671" s="20">
        <v>3.3250000000000002</v>
      </c>
    </row>
    <row r="672" spans="10:10" x14ac:dyDescent="0.15">
      <c r="J672" s="20">
        <v>3.33</v>
      </c>
    </row>
    <row r="673" spans="10:10" x14ac:dyDescent="0.15">
      <c r="J673" s="20">
        <v>3.335</v>
      </c>
    </row>
    <row r="674" spans="10:10" x14ac:dyDescent="0.15">
      <c r="J674" s="20">
        <v>3.34</v>
      </c>
    </row>
    <row r="675" spans="10:10" x14ac:dyDescent="0.15">
      <c r="J675" s="20">
        <v>3.3450000000000002</v>
      </c>
    </row>
    <row r="676" spans="10:10" x14ac:dyDescent="0.15">
      <c r="J676" s="20">
        <v>3.35</v>
      </c>
    </row>
    <row r="677" spans="10:10" x14ac:dyDescent="0.15">
      <c r="J677" s="20">
        <v>3.355</v>
      </c>
    </row>
    <row r="678" spans="10:10" x14ac:dyDescent="0.15">
      <c r="J678" s="20">
        <v>3.36</v>
      </c>
    </row>
    <row r="679" spans="10:10" x14ac:dyDescent="0.15">
      <c r="J679" s="20">
        <v>3.3650000000000002</v>
      </c>
    </row>
    <row r="680" spans="10:10" x14ac:dyDescent="0.15">
      <c r="J680" s="20">
        <v>3.37</v>
      </c>
    </row>
    <row r="681" spans="10:10" x14ac:dyDescent="0.15">
      <c r="J681" s="20">
        <v>3.375</v>
      </c>
    </row>
    <row r="682" spans="10:10" x14ac:dyDescent="0.15">
      <c r="J682" s="20">
        <v>3.38</v>
      </c>
    </row>
    <row r="683" spans="10:10" x14ac:dyDescent="0.15">
      <c r="J683" s="20">
        <v>3.3849999999999998</v>
      </c>
    </row>
    <row r="684" spans="10:10" x14ac:dyDescent="0.15">
      <c r="J684" s="20">
        <v>3.39</v>
      </c>
    </row>
    <row r="685" spans="10:10" x14ac:dyDescent="0.15">
      <c r="J685" s="20">
        <v>3.395</v>
      </c>
    </row>
    <row r="686" spans="10:10" x14ac:dyDescent="0.15">
      <c r="J686" s="20">
        <v>3.4</v>
      </c>
    </row>
    <row r="687" spans="10:10" x14ac:dyDescent="0.15">
      <c r="J687" s="20">
        <v>3.4049999999999998</v>
      </c>
    </row>
    <row r="688" spans="10:10" x14ac:dyDescent="0.15">
      <c r="J688" s="20">
        <v>3.41</v>
      </c>
    </row>
    <row r="689" spans="10:10" x14ac:dyDescent="0.15">
      <c r="J689" s="20">
        <v>3.415</v>
      </c>
    </row>
    <row r="690" spans="10:10" x14ac:dyDescent="0.15">
      <c r="J690" s="20">
        <v>3.42</v>
      </c>
    </row>
    <row r="691" spans="10:10" x14ac:dyDescent="0.15">
      <c r="J691" s="20">
        <v>3.4249999999999998</v>
      </c>
    </row>
    <row r="692" spans="10:10" x14ac:dyDescent="0.15">
      <c r="J692" s="20">
        <v>3.43</v>
      </c>
    </row>
    <row r="693" spans="10:10" x14ac:dyDescent="0.15">
      <c r="J693" s="20">
        <v>3.4350000000000001</v>
      </c>
    </row>
    <row r="694" spans="10:10" x14ac:dyDescent="0.15">
      <c r="J694" s="20">
        <v>3.44</v>
      </c>
    </row>
    <row r="695" spans="10:10" x14ac:dyDescent="0.15">
      <c r="J695" s="20">
        <v>3.4449999999999998</v>
      </c>
    </row>
    <row r="696" spans="10:10" x14ac:dyDescent="0.15">
      <c r="J696" s="20">
        <v>3.45</v>
      </c>
    </row>
    <row r="697" spans="10:10" x14ac:dyDescent="0.15">
      <c r="J697" s="20">
        <v>3.4550000000000001</v>
      </c>
    </row>
    <row r="698" spans="10:10" x14ac:dyDescent="0.15">
      <c r="J698" s="20">
        <v>3.46</v>
      </c>
    </row>
    <row r="699" spans="10:10" x14ac:dyDescent="0.15">
      <c r="J699" s="20">
        <v>3.4649999999999999</v>
      </c>
    </row>
    <row r="700" spans="10:10" x14ac:dyDescent="0.15">
      <c r="J700" s="20">
        <v>3.47</v>
      </c>
    </row>
    <row r="701" spans="10:10" x14ac:dyDescent="0.15">
      <c r="J701" s="20">
        <v>3.4750000000000001</v>
      </c>
    </row>
    <row r="702" spans="10:10" x14ac:dyDescent="0.15">
      <c r="J702" s="20">
        <v>3.48</v>
      </c>
    </row>
    <row r="703" spans="10:10" x14ac:dyDescent="0.15">
      <c r="J703" s="20">
        <v>3.4849999999999999</v>
      </c>
    </row>
    <row r="704" spans="10:10" x14ac:dyDescent="0.15">
      <c r="J704" s="20">
        <v>3.49</v>
      </c>
    </row>
    <row r="705" spans="10:10" x14ac:dyDescent="0.15">
      <c r="J705" s="20">
        <v>3.4950000000000001</v>
      </c>
    </row>
    <row r="706" spans="10:10" x14ac:dyDescent="0.15">
      <c r="J706" s="20">
        <v>3.5</v>
      </c>
    </row>
    <row r="707" spans="10:10" x14ac:dyDescent="0.15">
      <c r="J707" s="20">
        <v>3.5049999999999999</v>
      </c>
    </row>
    <row r="708" spans="10:10" x14ac:dyDescent="0.15">
      <c r="J708" s="20">
        <v>3.51</v>
      </c>
    </row>
    <row r="709" spans="10:10" x14ac:dyDescent="0.15">
      <c r="J709" s="20">
        <v>3.5150000000000001</v>
      </c>
    </row>
    <row r="710" spans="10:10" x14ac:dyDescent="0.15">
      <c r="J710" s="20">
        <v>3.52</v>
      </c>
    </row>
    <row r="711" spans="10:10" x14ac:dyDescent="0.15">
      <c r="J711" s="20">
        <v>3.5249999999999999</v>
      </c>
    </row>
    <row r="712" spans="10:10" x14ac:dyDescent="0.15">
      <c r="J712" s="20">
        <v>3.53</v>
      </c>
    </row>
    <row r="713" spans="10:10" x14ac:dyDescent="0.15">
      <c r="J713" s="20">
        <v>3.5350000000000001</v>
      </c>
    </row>
    <row r="714" spans="10:10" x14ac:dyDescent="0.15">
      <c r="J714" s="20">
        <v>3.54</v>
      </c>
    </row>
    <row r="715" spans="10:10" x14ac:dyDescent="0.15">
      <c r="J715" s="20">
        <v>3.5449999999999999</v>
      </c>
    </row>
    <row r="716" spans="10:10" x14ac:dyDescent="0.15">
      <c r="J716" s="20">
        <v>3.55</v>
      </c>
    </row>
    <row r="717" spans="10:10" x14ac:dyDescent="0.15">
      <c r="J717" s="20">
        <v>3.5550000000000002</v>
      </c>
    </row>
    <row r="718" spans="10:10" x14ac:dyDescent="0.15">
      <c r="J718" s="20">
        <v>3.56</v>
      </c>
    </row>
    <row r="719" spans="10:10" x14ac:dyDescent="0.15">
      <c r="J719" s="20">
        <v>3.5649999999999999</v>
      </c>
    </row>
    <row r="720" spans="10:10" x14ac:dyDescent="0.15">
      <c r="J720" s="20">
        <v>3.57</v>
      </c>
    </row>
    <row r="721" spans="10:10" x14ac:dyDescent="0.15">
      <c r="J721" s="20">
        <v>3.5750000000000002</v>
      </c>
    </row>
    <row r="722" spans="10:10" x14ac:dyDescent="0.15">
      <c r="J722" s="20">
        <v>3.58</v>
      </c>
    </row>
    <row r="723" spans="10:10" x14ac:dyDescent="0.15">
      <c r="J723" s="20">
        <v>3.585</v>
      </c>
    </row>
    <row r="724" spans="10:10" x14ac:dyDescent="0.15">
      <c r="J724" s="20">
        <v>3.59</v>
      </c>
    </row>
    <row r="725" spans="10:10" x14ac:dyDescent="0.15">
      <c r="J725" s="20">
        <v>3.5950000000000002</v>
      </c>
    </row>
    <row r="726" spans="10:10" x14ac:dyDescent="0.15">
      <c r="J726" s="20">
        <v>3.6</v>
      </c>
    </row>
    <row r="727" spans="10:10" x14ac:dyDescent="0.15">
      <c r="J727" s="20">
        <v>3.605</v>
      </c>
    </row>
    <row r="728" spans="10:10" x14ac:dyDescent="0.15">
      <c r="J728" s="20">
        <v>3.61</v>
      </c>
    </row>
    <row r="729" spans="10:10" x14ac:dyDescent="0.15">
      <c r="J729" s="20">
        <v>3.6150000000000002</v>
      </c>
    </row>
    <row r="730" spans="10:10" x14ac:dyDescent="0.15">
      <c r="J730" s="20">
        <v>3.62</v>
      </c>
    </row>
    <row r="731" spans="10:10" x14ac:dyDescent="0.15">
      <c r="J731" s="20">
        <v>3.625</v>
      </c>
    </row>
    <row r="732" spans="10:10" x14ac:dyDescent="0.15">
      <c r="J732" s="20">
        <v>3.63</v>
      </c>
    </row>
    <row r="733" spans="10:10" x14ac:dyDescent="0.15">
      <c r="J733" s="20">
        <v>3.6349999999999998</v>
      </c>
    </row>
    <row r="734" spans="10:10" x14ac:dyDescent="0.15">
      <c r="J734" s="20">
        <v>3.64</v>
      </c>
    </row>
    <row r="735" spans="10:10" x14ac:dyDescent="0.15">
      <c r="J735" s="20">
        <v>3.645</v>
      </c>
    </row>
    <row r="736" spans="10:10" x14ac:dyDescent="0.15">
      <c r="J736" s="20">
        <v>3.65</v>
      </c>
    </row>
    <row r="737" spans="10:10" x14ac:dyDescent="0.15">
      <c r="J737" s="20">
        <v>3.6549999999999998</v>
      </c>
    </row>
    <row r="738" spans="10:10" x14ac:dyDescent="0.15">
      <c r="J738" s="20">
        <v>3.66</v>
      </c>
    </row>
    <row r="739" spans="10:10" x14ac:dyDescent="0.15">
      <c r="J739" s="20">
        <v>3.665</v>
      </c>
    </row>
    <row r="740" spans="10:10" x14ac:dyDescent="0.15">
      <c r="J740" s="20">
        <v>3.67</v>
      </c>
    </row>
    <row r="741" spans="10:10" x14ac:dyDescent="0.15">
      <c r="J741" s="20">
        <v>3.6749999999999998</v>
      </c>
    </row>
    <row r="742" spans="10:10" x14ac:dyDescent="0.15">
      <c r="J742" s="20">
        <v>3.68</v>
      </c>
    </row>
    <row r="743" spans="10:10" x14ac:dyDescent="0.15">
      <c r="J743" s="20">
        <v>3.6850000000000001</v>
      </c>
    </row>
    <row r="744" spans="10:10" x14ac:dyDescent="0.15">
      <c r="J744" s="20">
        <v>3.69</v>
      </c>
    </row>
    <row r="745" spans="10:10" x14ac:dyDescent="0.15">
      <c r="J745" s="20">
        <v>3.6949999999999998</v>
      </c>
    </row>
    <row r="746" spans="10:10" x14ac:dyDescent="0.15">
      <c r="J746" s="20">
        <v>3.7</v>
      </c>
    </row>
    <row r="747" spans="10:10" x14ac:dyDescent="0.15">
      <c r="J747" s="20">
        <v>3.7050000000000001</v>
      </c>
    </row>
    <row r="748" spans="10:10" x14ac:dyDescent="0.15">
      <c r="J748" s="20">
        <v>3.71</v>
      </c>
    </row>
    <row r="749" spans="10:10" x14ac:dyDescent="0.15">
      <c r="J749" s="20">
        <v>3.7149999999999999</v>
      </c>
    </row>
    <row r="750" spans="10:10" x14ac:dyDescent="0.15">
      <c r="J750" s="20">
        <v>3.72</v>
      </c>
    </row>
    <row r="751" spans="10:10" x14ac:dyDescent="0.15">
      <c r="J751" s="20">
        <v>3.7250000000000001</v>
      </c>
    </row>
    <row r="752" spans="10:10" x14ac:dyDescent="0.15">
      <c r="J752" s="20">
        <v>3.73</v>
      </c>
    </row>
    <row r="753" spans="10:10" x14ac:dyDescent="0.15">
      <c r="J753" s="20">
        <v>3.7349999999999999</v>
      </c>
    </row>
    <row r="754" spans="10:10" x14ac:dyDescent="0.15">
      <c r="J754" s="20">
        <v>3.74</v>
      </c>
    </row>
    <row r="755" spans="10:10" x14ac:dyDescent="0.15">
      <c r="J755" s="20">
        <v>3.7450000000000001</v>
      </c>
    </row>
    <row r="756" spans="10:10" x14ac:dyDescent="0.15">
      <c r="J756" s="20">
        <v>3.75</v>
      </c>
    </row>
    <row r="757" spans="10:10" x14ac:dyDescent="0.15">
      <c r="J757" s="20">
        <v>3.7549999999999999</v>
      </c>
    </row>
    <row r="758" spans="10:10" x14ac:dyDescent="0.15">
      <c r="J758" s="20">
        <v>3.76</v>
      </c>
    </row>
    <row r="759" spans="10:10" x14ac:dyDescent="0.15">
      <c r="J759" s="20">
        <v>3.7650000000000001</v>
      </c>
    </row>
    <row r="760" spans="10:10" x14ac:dyDescent="0.15">
      <c r="J760" s="20">
        <v>3.77</v>
      </c>
    </row>
    <row r="761" spans="10:10" x14ac:dyDescent="0.15">
      <c r="J761" s="20">
        <v>3.7749999999999999</v>
      </c>
    </row>
    <row r="762" spans="10:10" x14ac:dyDescent="0.15">
      <c r="J762" s="20">
        <v>3.78</v>
      </c>
    </row>
    <row r="763" spans="10:10" x14ac:dyDescent="0.15">
      <c r="J763" s="20">
        <v>3.7850000000000001</v>
      </c>
    </row>
    <row r="764" spans="10:10" x14ac:dyDescent="0.15">
      <c r="J764" s="20">
        <v>3.79</v>
      </c>
    </row>
    <row r="765" spans="10:10" x14ac:dyDescent="0.15">
      <c r="J765" s="20">
        <v>3.7949999999999999</v>
      </c>
    </row>
    <row r="766" spans="10:10" x14ac:dyDescent="0.15">
      <c r="J766" s="20">
        <v>3.8</v>
      </c>
    </row>
    <row r="767" spans="10:10" x14ac:dyDescent="0.15">
      <c r="J767" s="20">
        <v>3.8050000000000002</v>
      </c>
    </row>
    <row r="768" spans="10:10" x14ac:dyDescent="0.15">
      <c r="J768" s="20">
        <v>3.81</v>
      </c>
    </row>
    <row r="769" spans="10:10" x14ac:dyDescent="0.15">
      <c r="J769" s="20">
        <v>3.8149999999999999</v>
      </c>
    </row>
    <row r="770" spans="10:10" x14ac:dyDescent="0.15">
      <c r="J770" s="20">
        <v>3.82</v>
      </c>
    </row>
    <row r="771" spans="10:10" x14ac:dyDescent="0.15">
      <c r="J771" s="20">
        <v>3.8250000000000002</v>
      </c>
    </row>
    <row r="772" spans="10:10" x14ac:dyDescent="0.15">
      <c r="J772" s="20">
        <v>3.83</v>
      </c>
    </row>
    <row r="773" spans="10:10" x14ac:dyDescent="0.15">
      <c r="J773" s="20">
        <v>3.835</v>
      </c>
    </row>
    <row r="774" spans="10:10" x14ac:dyDescent="0.15">
      <c r="J774" s="20">
        <v>3.84</v>
      </c>
    </row>
    <row r="775" spans="10:10" x14ac:dyDescent="0.15">
      <c r="J775" s="20">
        <v>3.8450000000000002</v>
      </c>
    </row>
    <row r="776" spans="10:10" x14ac:dyDescent="0.15">
      <c r="J776" s="20">
        <v>3.85</v>
      </c>
    </row>
    <row r="777" spans="10:10" x14ac:dyDescent="0.15">
      <c r="J777" s="20">
        <v>3.855</v>
      </c>
    </row>
    <row r="778" spans="10:10" x14ac:dyDescent="0.15">
      <c r="J778" s="20">
        <v>3.86</v>
      </c>
    </row>
    <row r="779" spans="10:10" x14ac:dyDescent="0.15">
      <c r="J779" s="20">
        <v>3.8650000000000002</v>
      </c>
    </row>
    <row r="780" spans="10:10" x14ac:dyDescent="0.15">
      <c r="J780" s="20">
        <v>3.87</v>
      </c>
    </row>
    <row r="781" spans="10:10" x14ac:dyDescent="0.15">
      <c r="J781" s="20">
        <v>3.875</v>
      </c>
    </row>
    <row r="782" spans="10:10" x14ac:dyDescent="0.15">
      <c r="J782" s="20">
        <v>3.88</v>
      </c>
    </row>
    <row r="783" spans="10:10" x14ac:dyDescent="0.15">
      <c r="J783" s="20">
        <v>3.8849999999999998</v>
      </c>
    </row>
    <row r="784" spans="10:10" x14ac:dyDescent="0.15">
      <c r="J784" s="20">
        <v>3.89</v>
      </c>
    </row>
    <row r="785" spans="10:10" x14ac:dyDescent="0.15">
      <c r="J785" s="20">
        <v>3.895</v>
      </c>
    </row>
    <row r="786" spans="10:10" x14ac:dyDescent="0.15">
      <c r="J786" s="20">
        <v>3.9</v>
      </c>
    </row>
    <row r="787" spans="10:10" x14ac:dyDescent="0.15">
      <c r="J787" s="20">
        <v>3.9049999999999998</v>
      </c>
    </row>
    <row r="788" spans="10:10" x14ac:dyDescent="0.15">
      <c r="J788" s="20">
        <v>3.91</v>
      </c>
    </row>
    <row r="789" spans="10:10" x14ac:dyDescent="0.15">
      <c r="J789" s="20">
        <v>3.915</v>
      </c>
    </row>
    <row r="790" spans="10:10" x14ac:dyDescent="0.15">
      <c r="J790" s="20">
        <v>3.92</v>
      </c>
    </row>
    <row r="791" spans="10:10" x14ac:dyDescent="0.15">
      <c r="J791" s="20">
        <v>3.9249999999999998</v>
      </c>
    </row>
    <row r="792" spans="10:10" x14ac:dyDescent="0.15">
      <c r="J792" s="20">
        <v>3.93</v>
      </c>
    </row>
    <row r="793" spans="10:10" x14ac:dyDescent="0.15">
      <c r="J793" s="20">
        <v>3.9350000000000001</v>
      </c>
    </row>
    <row r="794" spans="10:10" x14ac:dyDescent="0.15">
      <c r="J794" s="20">
        <v>3.94</v>
      </c>
    </row>
    <row r="795" spans="10:10" x14ac:dyDescent="0.15">
      <c r="J795" s="20">
        <v>3.9449999999999998</v>
      </c>
    </row>
    <row r="796" spans="10:10" x14ac:dyDescent="0.15">
      <c r="J796" s="20">
        <v>3.95</v>
      </c>
    </row>
    <row r="797" spans="10:10" x14ac:dyDescent="0.15">
      <c r="J797" s="20">
        <v>3.9550000000000001</v>
      </c>
    </row>
    <row r="798" spans="10:10" x14ac:dyDescent="0.15">
      <c r="J798" s="20">
        <v>3.96</v>
      </c>
    </row>
    <row r="799" spans="10:10" x14ac:dyDescent="0.15">
      <c r="J799" s="20">
        <v>3.9649999999999999</v>
      </c>
    </row>
    <row r="800" spans="10:10" x14ac:dyDescent="0.15">
      <c r="J800" s="20">
        <v>3.97</v>
      </c>
    </row>
    <row r="801" spans="10:10" x14ac:dyDescent="0.15">
      <c r="J801" s="20">
        <v>3.9750000000000001</v>
      </c>
    </row>
    <row r="802" spans="10:10" x14ac:dyDescent="0.15">
      <c r="J802" s="20">
        <v>3.98</v>
      </c>
    </row>
    <row r="803" spans="10:10" x14ac:dyDescent="0.15">
      <c r="J803" s="20">
        <v>3.9849999999999999</v>
      </c>
    </row>
    <row r="804" spans="10:10" x14ac:dyDescent="0.15">
      <c r="J804" s="20">
        <v>3.99</v>
      </c>
    </row>
    <row r="805" spans="10:10" x14ac:dyDescent="0.15">
      <c r="J805" s="20">
        <v>3.9950000000000001</v>
      </c>
    </row>
    <row r="806" spans="10:10" x14ac:dyDescent="0.15">
      <c r="J806" s="20">
        <v>4</v>
      </c>
    </row>
    <row r="807" spans="10:10" x14ac:dyDescent="0.15">
      <c r="J807" s="20">
        <v>4.0049999999999999</v>
      </c>
    </row>
    <row r="808" spans="10:10" x14ac:dyDescent="0.15">
      <c r="J808" s="20">
        <v>4.01</v>
      </c>
    </row>
    <row r="809" spans="10:10" x14ac:dyDescent="0.15">
      <c r="J809" s="20">
        <v>4.0149999999999997</v>
      </c>
    </row>
    <row r="810" spans="10:10" x14ac:dyDescent="0.15">
      <c r="J810" s="20">
        <v>4.0199999999999996</v>
      </c>
    </row>
    <row r="811" spans="10:10" x14ac:dyDescent="0.15">
      <c r="J811" s="20">
        <v>4.0250000000000004</v>
      </c>
    </row>
    <row r="812" spans="10:10" x14ac:dyDescent="0.15">
      <c r="J812" s="20">
        <v>4.03</v>
      </c>
    </row>
    <row r="813" spans="10:10" x14ac:dyDescent="0.15">
      <c r="J813" s="20">
        <v>4.0350000000000001</v>
      </c>
    </row>
    <row r="814" spans="10:10" x14ac:dyDescent="0.15">
      <c r="J814" s="20">
        <v>4.04</v>
      </c>
    </row>
    <row r="815" spans="10:10" x14ac:dyDescent="0.15">
      <c r="J815" s="20">
        <v>4.0449999999999999</v>
      </c>
    </row>
    <row r="816" spans="10:10" x14ac:dyDescent="0.15">
      <c r="J816" s="20">
        <v>4.05</v>
      </c>
    </row>
    <row r="817" spans="10:10" x14ac:dyDescent="0.15">
      <c r="J817" s="20">
        <v>4.0549999999999997</v>
      </c>
    </row>
    <row r="818" spans="10:10" x14ac:dyDescent="0.15">
      <c r="J818" s="20">
        <v>4.0599999999999996</v>
      </c>
    </row>
    <row r="819" spans="10:10" x14ac:dyDescent="0.15">
      <c r="J819" s="20">
        <v>4.0650000000000004</v>
      </c>
    </row>
    <row r="820" spans="10:10" x14ac:dyDescent="0.15">
      <c r="J820" s="20">
        <v>4.07</v>
      </c>
    </row>
    <row r="821" spans="10:10" x14ac:dyDescent="0.15">
      <c r="J821" s="20">
        <v>4.0750000000000002</v>
      </c>
    </row>
    <row r="822" spans="10:10" x14ac:dyDescent="0.15">
      <c r="J822" s="20">
        <v>4.08</v>
      </c>
    </row>
    <row r="823" spans="10:10" x14ac:dyDescent="0.15">
      <c r="J823" s="20">
        <v>4.085</v>
      </c>
    </row>
    <row r="824" spans="10:10" x14ac:dyDescent="0.15">
      <c r="J824" s="20">
        <v>4.09</v>
      </c>
    </row>
    <row r="825" spans="10:10" x14ac:dyDescent="0.15">
      <c r="J825" s="20">
        <v>4.0949999999999998</v>
      </c>
    </row>
    <row r="826" spans="10:10" x14ac:dyDescent="0.15">
      <c r="J826" s="20">
        <v>4.0999999999999996</v>
      </c>
    </row>
    <row r="827" spans="10:10" x14ac:dyDescent="0.15">
      <c r="J827" s="20">
        <v>4.1050000000000004</v>
      </c>
    </row>
    <row r="828" spans="10:10" x14ac:dyDescent="0.15">
      <c r="J828" s="20">
        <v>4.1100000000000003</v>
      </c>
    </row>
    <row r="829" spans="10:10" x14ac:dyDescent="0.15">
      <c r="J829" s="20">
        <v>4.1150000000000002</v>
      </c>
    </row>
    <row r="830" spans="10:10" x14ac:dyDescent="0.15">
      <c r="J830" s="20">
        <v>4.12</v>
      </c>
    </row>
    <row r="831" spans="10:10" x14ac:dyDescent="0.15">
      <c r="J831" s="20">
        <v>4.125</v>
      </c>
    </row>
    <row r="832" spans="10:10" x14ac:dyDescent="0.15">
      <c r="J832" s="20">
        <v>4.13</v>
      </c>
    </row>
    <row r="833" spans="10:10" x14ac:dyDescent="0.15">
      <c r="J833" s="20">
        <v>4.1349999999999998</v>
      </c>
    </row>
    <row r="834" spans="10:10" x14ac:dyDescent="0.15">
      <c r="J834" s="20">
        <v>4.1399999999999997</v>
      </c>
    </row>
    <row r="835" spans="10:10" x14ac:dyDescent="0.15">
      <c r="J835" s="20">
        <v>4.1449999999999996</v>
      </c>
    </row>
    <row r="836" spans="10:10" x14ac:dyDescent="0.15">
      <c r="J836" s="20">
        <v>4.1500000000000004</v>
      </c>
    </row>
    <row r="837" spans="10:10" x14ac:dyDescent="0.15">
      <c r="J837" s="20">
        <v>4.1550000000000002</v>
      </c>
    </row>
    <row r="838" spans="10:10" x14ac:dyDescent="0.15">
      <c r="J838" s="20">
        <v>4.16</v>
      </c>
    </row>
    <row r="839" spans="10:10" x14ac:dyDescent="0.15">
      <c r="J839" s="20">
        <v>4.165</v>
      </c>
    </row>
    <row r="840" spans="10:10" x14ac:dyDescent="0.15">
      <c r="J840" s="20">
        <v>4.17</v>
      </c>
    </row>
    <row r="841" spans="10:10" x14ac:dyDescent="0.15">
      <c r="J841" s="20">
        <v>4.1749999999999998</v>
      </c>
    </row>
    <row r="842" spans="10:10" x14ac:dyDescent="0.15">
      <c r="J842" s="20">
        <v>4.18</v>
      </c>
    </row>
    <row r="843" spans="10:10" x14ac:dyDescent="0.15">
      <c r="J843" s="20">
        <v>4.1849999999999996</v>
      </c>
    </row>
    <row r="844" spans="10:10" x14ac:dyDescent="0.15">
      <c r="J844" s="20">
        <v>4.1900000000000004</v>
      </c>
    </row>
    <row r="845" spans="10:10" x14ac:dyDescent="0.15">
      <c r="J845" s="20">
        <v>4.1950000000000003</v>
      </c>
    </row>
    <row r="846" spans="10:10" x14ac:dyDescent="0.15">
      <c r="J846" s="20">
        <v>4.2</v>
      </c>
    </row>
    <row r="847" spans="10:10" x14ac:dyDescent="0.15">
      <c r="J847" s="20">
        <v>4.2050000000000001</v>
      </c>
    </row>
    <row r="848" spans="10:10" x14ac:dyDescent="0.15">
      <c r="J848" s="20">
        <v>4.21</v>
      </c>
    </row>
    <row r="849" spans="10:10" x14ac:dyDescent="0.15">
      <c r="J849" s="20">
        <v>4.2149999999999999</v>
      </c>
    </row>
    <row r="850" spans="10:10" x14ac:dyDescent="0.15">
      <c r="J850" s="20">
        <v>4.22</v>
      </c>
    </row>
    <row r="851" spans="10:10" x14ac:dyDescent="0.15">
      <c r="J851" s="20">
        <v>4.2249999999999996</v>
      </c>
    </row>
    <row r="852" spans="10:10" x14ac:dyDescent="0.15">
      <c r="J852" s="20">
        <v>4.2300000000000004</v>
      </c>
    </row>
    <row r="853" spans="10:10" x14ac:dyDescent="0.15">
      <c r="J853" s="20">
        <v>4.2350000000000003</v>
      </c>
    </row>
    <row r="854" spans="10:10" x14ac:dyDescent="0.15">
      <c r="J854" s="20">
        <v>4.24</v>
      </c>
    </row>
    <row r="855" spans="10:10" x14ac:dyDescent="0.15">
      <c r="J855" s="20">
        <v>4.2450000000000001</v>
      </c>
    </row>
    <row r="856" spans="10:10" x14ac:dyDescent="0.15">
      <c r="J856" s="20">
        <v>4.25</v>
      </c>
    </row>
    <row r="857" spans="10:10" x14ac:dyDescent="0.15">
      <c r="J857" s="20">
        <v>4.2549999999999999</v>
      </c>
    </row>
    <row r="858" spans="10:10" x14ac:dyDescent="0.15">
      <c r="J858" s="20">
        <v>4.26</v>
      </c>
    </row>
    <row r="859" spans="10:10" x14ac:dyDescent="0.15">
      <c r="J859" s="20">
        <v>4.2649999999999997</v>
      </c>
    </row>
    <row r="860" spans="10:10" x14ac:dyDescent="0.15">
      <c r="J860" s="20">
        <v>4.2699999999999996</v>
      </c>
    </row>
    <row r="861" spans="10:10" x14ac:dyDescent="0.15">
      <c r="J861" s="20">
        <v>4.2750000000000004</v>
      </c>
    </row>
    <row r="862" spans="10:10" x14ac:dyDescent="0.15">
      <c r="J862" s="20">
        <v>4.28</v>
      </c>
    </row>
    <row r="863" spans="10:10" x14ac:dyDescent="0.15">
      <c r="J863" s="20">
        <v>4.2850000000000001</v>
      </c>
    </row>
    <row r="864" spans="10:10" x14ac:dyDescent="0.15">
      <c r="J864" s="20">
        <v>4.29</v>
      </c>
    </row>
    <row r="865" spans="10:10" x14ac:dyDescent="0.15">
      <c r="J865" s="20">
        <v>4.2949999999999999</v>
      </c>
    </row>
    <row r="866" spans="10:10" x14ac:dyDescent="0.15">
      <c r="J866" s="20">
        <v>4.3</v>
      </c>
    </row>
    <row r="867" spans="10:10" x14ac:dyDescent="0.15">
      <c r="J867" s="20">
        <v>4.3049999999999997</v>
      </c>
    </row>
    <row r="868" spans="10:10" x14ac:dyDescent="0.15">
      <c r="J868" s="20">
        <v>4.3099999999999996</v>
      </c>
    </row>
    <row r="869" spans="10:10" x14ac:dyDescent="0.15">
      <c r="J869" s="20">
        <v>4.3150000000000004</v>
      </c>
    </row>
    <row r="870" spans="10:10" x14ac:dyDescent="0.15">
      <c r="J870" s="20">
        <v>4.32</v>
      </c>
    </row>
    <row r="871" spans="10:10" x14ac:dyDescent="0.15">
      <c r="J871" s="20">
        <v>4.3250000000000002</v>
      </c>
    </row>
    <row r="872" spans="10:10" x14ac:dyDescent="0.15">
      <c r="J872" s="20">
        <v>4.33</v>
      </c>
    </row>
    <row r="873" spans="10:10" x14ac:dyDescent="0.15">
      <c r="J873" s="20">
        <v>4.335</v>
      </c>
    </row>
    <row r="874" spans="10:10" x14ac:dyDescent="0.15">
      <c r="J874" s="20">
        <v>4.34</v>
      </c>
    </row>
    <row r="875" spans="10:10" x14ac:dyDescent="0.15">
      <c r="J875" s="20">
        <v>4.3449999999999998</v>
      </c>
    </row>
    <row r="876" spans="10:10" x14ac:dyDescent="0.15">
      <c r="J876" s="20">
        <v>4.3499999999999996</v>
      </c>
    </row>
    <row r="877" spans="10:10" x14ac:dyDescent="0.15">
      <c r="J877" s="20">
        <v>4.3550000000000004</v>
      </c>
    </row>
    <row r="878" spans="10:10" x14ac:dyDescent="0.15">
      <c r="J878" s="20">
        <v>4.3600000000000003</v>
      </c>
    </row>
    <row r="879" spans="10:10" x14ac:dyDescent="0.15">
      <c r="J879" s="20">
        <v>4.3650000000000002</v>
      </c>
    </row>
    <row r="880" spans="10:10" x14ac:dyDescent="0.15">
      <c r="J880" s="20">
        <v>4.37</v>
      </c>
    </row>
    <row r="881" spans="10:10" x14ac:dyDescent="0.15">
      <c r="J881" s="20">
        <v>4.375</v>
      </c>
    </row>
    <row r="882" spans="10:10" x14ac:dyDescent="0.15">
      <c r="J882" s="20">
        <v>4.38</v>
      </c>
    </row>
    <row r="883" spans="10:10" x14ac:dyDescent="0.15">
      <c r="J883" s="20">
        <v>4.3849999999999998</v>
      </c>
    </row>
    <row r="884" spans="10:10" x14ac:dyDescent="0.15">
      <c r="J884" s="20">
        <v>4.3899999999999997</v>
      </c>
    </row>
    <row r="885" spans="10:10" x14ac:dyDescent="0.15">
      <c r="J885" s="20">
        <v>4.3949999999999996</v>
      </c>
    </row>
    <row r="886" spans="10:10" x14ac:dyDescent="0.15">
      <c r="J886" s="20">
        <v>4.4000000000000004</v>
      </c>
    </row>
    <row r="887" spans="10:10" x14ac:dyDescent="0.15">
      <c r="J887" s="20">
        <v>4.4050000000000002</v>
      </c>
    </row>
    <row r="888" spans="10:10" x14ac:dyDescent="0.15">
      <c r="J888" s="20">
        <v>4.41</v>
      </c>
    </row>
    <row r="889" spans="10:10" x14ac:dyDescent="0.15">
      <c r="J889" s="20">
        <v>4.415</v>
      </c>
    </row>
    <row r="890" spans="10:10" x14ac:dyDescent="0.15">
      <c r="J890" s="20">
        <v>4.42</v>
      </c>
    </row>
    <row r="891" spans="10:10" x14ac:dyDescent="0.15">
      <c r="J891" s="20">
        <v>4.4249999999999998</v>
      </c>
    </row>
    <row r="892" spans="10:10" x14ac:dyDescent="0.15">
      <c r="J892" s="20">
        <v>4.43</v>
      </c>
    </row>
    <row r="893" spans="10:10" x14ac:dyDescent="0.15">
      <c r="J893" s="20">
        <v>4.4349999999999996</v>
      </c>
    </row>
    <row r="894" spans="10:10" x14ac:dyDescent="0.15">
      <c r="J894" s="20">
        <v>4.4400000000000004</v>
      </c>
    </row>
    <row r="895" spans="10:10" x14ac:dyDescent="0.15">
      <c r="J895" s="20">
        <v>4.4450000000000003</v>
      </c>
    </row>
    <row r="896" spans="10:10" x14ac:dyDescent="0.15">
      <c r="J896" s="20">
        <v>4.45</v>
      </c>
    </row>
    <row r="897" spans="10:10" x14ac:dyDescent="0.15">
      <c r="J897" s="20">
        <v>4.4550000000000001</v>
      </c>
    </row>
    <row r="898" spans="10:10" x14ac:dyDescent="0.15">
      <c r="J898" s="20">
        <v>4.46</v>
      </c>
    </row>
    <row r="899" spans="10:10" x14ac:dyDescent="0.15">
      <c r="J899" s="20">
        <v>4.4649999999999999</v>
      </c>
    </row>
    <row r="900" spans="10:10" x14ac:dyDescent="0.15">
      <c r="J900" s="20">
        <v>4.47</v>
      </c>
    </row>
    <row r="901" spans="10:10" x14ac:dyDescent="0.15">
      <c r="J901" s="20">
        <v>4.4749999999999996</v>
      </c>
    </row>
    <row r="902" spans="10:10" x14ac:dyDescent="0.15">
      <c r="J902" s="20">
        <v>4.4800000000000004</v>
      </c>
    </row>
    <row r="903" spans="10:10" x14ac:dyDescent="0.15">
      <c r="J903" s="20">
        <v>4.4850000000000003</v>
      </c>
    </row>
    <row r="904" spans="10:10" x14ac:dyDescent="0.15">
      <c r="J904" s="20">
        <v>4.49</v>
      </c>
    </row>
    <row r="905" spans="10:10" x14ac:dyDescent="0.15">
      <c r="J905" s="20">
        <v>4.4950000000000001</v>
      </c>
    </row>
    <row r="906" spans="10:10" x14ac:dyDescent="0.15">
      <c r="J906" s="20">
        <v>4.5</v>
      </c>
    </row>
    <row r="907" spans="10:10" x14ac:dyDescent="0.15">
      <c r="J907" s="20">
        <v>4.5049999999999999</v>
      </c>
    </row>
    <row r="908" spans="10:10" x14ac:dyDescent="0.15">
      <c r="J908" s="20">
        <v>4.51</v>
      </c>
    </row>
    <row r="909" spans="10:10" x14ac:dyDescent="0.15">
      <c r="J909" s="20">
        <v>4.5149999999999997</v>
      </c>
    </row>
    <row r="910" spans="10:10" x14ac:dyDescent="0.15">
      <c r="J910" s="20">
        <v>4.5199999999999996</v>
      </c>
    </row>
    <row r="911" spans="10:10" x14ac:dyDescent="0.15">
      <c r="J911" s="20">
        <v>4.5250000000000004</v>
      </c>
    </row>
    <row r="912" spans="10:10" x14ac:dyDescent="0.15">
      <c r="J912" s="20">
        <v>4.53</v>
      </c>
    </row>
    <row r="913" spans="10:10" x14ac:dyDescent="0.15">
      <c r="J913" s="20">
        <v>4.5350000000000001</v>
      </c>
    </row>
    <row r="914" spans="10:10" x14ac:dyDescent="0.15">
      <c r="J914" s="20">
        <v>4.54</v>
      </c>
    </row>
    <row r="915" spans="10:10" x14ac:dyDescent="0.15">
      <c r="J915" s="20">
        <v>4.5449999999999999</v>
      </c>
    </row>
    <row r="916" spans="10:10" x14ac:dyDescent="0.15">
      <c r="J916" s="20">
        <v>4.55</v>
      </c>
    </row>
    <row r="917" spans="10:10" x14ac:dyDescent="0.15">
      <c r="J917" s="20">
        <v>4.5549999999999997</v>
      </c>
    </row>
    <row r="918" spans="10:10" x14ac:dyDescent="0.15">
      <c r="J918" s="20">
        <v>4.5599999999999996</v>
      </c>
    </row>
    <row r="919" spans="10:10" x14ac:dyDescent="0.15">
      <c r="J919" s="20">
        <v>4.5650000000000004</v>
      </c>
    </row>
    <row r="920" spans="10:10" x14ac:dyDescent="0.15">
      <c r="J920" s="20">
        <v>4.57</v>
      </c>
    </row>
    <row r="921" spans="10:10" x14ac:dyDescent="0.15">
      <c r="J921" s="20">
        <v>4.5750000000000002</v>
      </c>
    </row>
    <row r="922" spans="10:10" x14ac:dyDescent="0.15">
      <c r="J922" s="20">
        <v>4.58</v>
      </c>
    </row>
    <row r="923" spans="10:10" x14ac:dyDescent="0.15">
      <c r="J923" s="20">
        <v>4.585</v>
      </c>
    </row>
    <row r="924" spans="10:10" x14ac:dyDescent="0.15">
      <c r="J924" s="20">
        <v>4.59</v>
      </c>
    </row>
    <row r="925" spans="10:10" x14ac:dyDescent="0.15">
      <c r="J925" s="20">
        <v>4.5949999999999998</v>
      </c>
    </row>
    <row r="926" spans="10:10" x14ac:dyDescent="0.15">
      <c r="J926" s="20">
        <v>4.5999999999999996</v>
      </c>
    </row>
    <row r="927" spans="10:10" x14ac:dyDescent="0.15">
      <c r="J927" s="20">
        <v>4.6050000000000004</v>
      </c>
    </row>
    <row r="928" spans="10:10" x14ac:dyDescent="0.15">
      <c r="J928" s="20">
        <v>4.6100000000000003</v>
      </c>
    </row>
    <row r="929" spans="10:10" x14ac:dyDescent="0.15">
      <c r="J929" s="20">
        <v>4.6150000000000002</v>
      </c>
    </row>
    <row r="930" spans="10:10" x14ac:dyDescent="0.15">
      <c r="J930" s="20">
        <v>4.62</v>
      </c>
    </row>
    <row r="931" spans="10:10" x14ac:dyDescent="0.15">
      <c r="J931" s="20">
        <v>4.625</v>
      </c>
    </row>
    <row r="932" spans="10:10" x14ac:dyDescent="0.15">
      <c r="J932" s="20">
        <v>4.63</v>
      </c>
    </row>
    <row r="933" spans="10:10" x14ac:dyDescent="0.15">
      <c r="J933" s="20">
        <v>4.6349999999999998</v>
      </c>
    </row>
    <row r="934" spans="10:10" x14ac:dyDescent="0.15">
      <c r="J934" s="20">
        <v>4.6399999999999997</v>
      </c>
    </row>
    <row r="935" spans="10:10" x14ac:dyDescent="0.15">
      <c r="J935" s="20">
        <v>4.6449999999999996</v>
      </c>
    </row>
    <row r="936" spans="10:10" x14ac:dyDescent="0.15">
      <c r="J936" s="20">
        <v>4.6500000000000004</v>
      </c>
    </row>
    <row r="937" spans="10:10" x14ac:dyDescent="0.15">
      <c r="J937" s="20">
        <v>4.6550000000000002</v>
      </c>
    </row>
    <row r="938" spans="10:10" x14ac:dyDescent="0.15">
      <c r="J938" s="20">
        <v>4.66</v>
      </c>
    </row>
    <row r="939" spans="10:10" x14ac:dyDescent="0.15">
      <c r="J939" s="20">
        <v>4.665</v>
      </c>
    </row>
    <row r="940" spans="10:10" x14ac:dyDescent="0.15">
      <c r="J940" s="20">
        <v>4.67</v>
      </c>
    </row>
    <row r="941" spans="10:10" x14ac:dyDescent="0.15">
      <c r="J941" s="20">
        <v>4.6749999999999998</v>
      </c>
    </row>
    <row r="942" spans="10:10" x14ac:dyDescent="0.15">
      <c r="J942" s="20">
        <v>4.68</v>
      </c>
    </row>
    <row r="943" spans="10:10" x14ac:dyDescent="0.15">
      <c r="J943" s="20">
        <v>4.6849999999999996</v>
      </c>
    </row>
    <row r="944" spans="10:10" x14ac:dyDescent="0.15">
      <c r="J944" s="20">
        <v>4.6900000000000004</v>
      </c>
    </row>
    <row r="945" spans="10:10" x14ac:dyDescent="0.15">
      <c r="J945" s="20">
        <v>4.6950000000000003</v>
      </c>
    </row>
    <row r="946" spans="10:10" x14ac:dyDescent="0.15">
      <c r="J946" s="20">
        <v>4.7</v>
      </c>
    </row>
    <row r="947" spans="10:10" x14ac:dyDescent="0.15">
      <c r="J947" s="20">
        <v>4.7050000000000001</v>
      </c>
    </row>
    <row r="948" spans="10:10" x14ac:dyDescent="0.15">
      <c r="J948" s="20">
        <v>4.71</v>
      </c>
    </row>
    <row r="949" spans="10:10" x14ac:dyDescent="0.15">
      <c r="J949" s="20">
        <v>4.7149999999999999</v>
      </c>
    </row>
    <row r="950" spans="10:10" x14ac:dyDescent="0.15">
      <c r="J950" s="20">
        <v>4.72</v>
      </c>
    </row>
    <row r="951" spans="10:10" x14ac:dyDescent="0.15">
      <c r="J951" s="20">
        <v>4.7249999999999996</v>
      </c>
    </row>
    <row r="952" spans="10:10" x14ac:dyDescent="0.15">
      <c r="J952" s="20">
        <v>4.7300000000000004</v>
      </c>
    </row>
    <row r="953" spans="10:10" x14ac:dyDescent="0.15">
      <c r="J953" s="20">
        <v>4.7350000000000003</v>
      </c>
    </row>
    <row r="954" spans="10:10" x14ac:dyDescent="0.15">
      <c r="J954" s="20">
        <v>4.74</v>
      </c>
    </row>
    <row r="955" spans="10:10" x14ac:dyDescent="0.15">
      <c r="J955" s="20">
        <v>4.7450000000000001</v>
      </c>
    </row>
    <row r="956" spans="10:10" x14ac:dyDescent="0.15">
      <c r="J956" s="20">
        <v>4.75</v>
      </c>
    </row>
    <row r="957" spans="10:10" x14ac:dyDescent="0.15">
      <c r="J957" s="20">
        <v>4.7549999999999999</v>
      </c>
    </row>
    <row r="958" spans="10:10" x14ac:dyDescent="0.15">
      <c r="J958" s="20">
        <v>4.76</v>
      </c>
    </row>
    <row r="959" spans="10:10" x14ac:dyDescent="0.15">
      <c r="J959" s="20">
        <v>4.7649999999999997</v>
      </c>
    </row>
    <row r="960" spans="10:10" x14ac:dyDescent="0.15">
      <c r="J960" s="20">
        <v>4.7699999999999996</v>
      </c>
    </row>
    <row r="961" spans="10:10" x14ac:dyDescent="0.15">
      <c r="J961" s="20">
        <v>4.7750000000000004</v>
      </c>
    </row>
    <row r="962" spans="10:10" x14ac:dyDescent="0.15">
      <c r="J962" s="20">
        <v>4.78</v>
      </c>
    </row>
    <row r="963" spans="10:10" x14ac:dyDescent="0.15">
      <c r="J963" s="20">
        <v>4.7850000000000001</v>
      </c>
    </row>
    <row r="964" spans="10:10" x14ac:dyDescent="0.15">
      <c r="J964" s="20">
        <v>4.79</v>
      </c>
    </row>
    <row r="965" spans="10:10" x14ac:dyDescent="0.15">
      <c r="J965" s="20">
        <v>4.7949999999999999</v>
      </c>
    </row>
    <row r="966" spans="10:10" x14ac:dyDescent="0.15">
      <c r="J966" s="20">
        <v>4.8</v>
      </c>
    </row>
    <row r="967" spans="10:10" x14ac:dyDescent="0.15">
      <c r="J967" s="20">
        <v>4.8049999999999997</v>
      </c>
    </row>
    <row r="968" spans="10:10" x14ac:dyDescent="0.15">
      <c r="J968" s="20">
        <v>4.8099999999999996</v>
      </c>
    </row>
    <row r="969" spans="10:10" x14ac:dyDescent="0.15">
      <c r="J969" s="20">
        <v>4.8150000000000004</v>
      </c>
    </row>
    <row r="970" spans="10:10" x14ac:dyDescent="0.15">
      <c r="J970" s="20">
        <v>4.82</v>
      </c>
    </row>
    <row r="971" spans="10:10" x14ac:dyDescent="0.15">
      <c r="J971" s="20">
        <v>4.8250000000000002</v>
      </c>
    </row>
    <row r="972" spans="10:10" x14ac:dyDescent="0.15">
      <c r="J972" s="20">
        <v>4.83</v>
      </c>
    </row>
    <row r="973" spans="10:10" x14ac:dyDescent="0.15">
      <c r="J973" s="20">
        <v>4.835</v>
      </c>
    </row>
    <row r="974" spans="10:10" x14ac:dyDescent="0.15">
      <c r="J974" s="20">
        <v>4.84</v>
      </c>
    </row>
    <row r="975" spans="10:10" x14ac:dyDescent="0.15">
      <c r="J975" s="20">
        <v>4.8449999999999998</v>
      </c>
    </row>
    <row r="976" spans="10:10" x14ac:dyDescent="0.15">
      <c r="J976" s="20">
        <v>4.8499999999999996</v>
      </c>
    </row>
    <row r="977" spans="10:10" x14ac:dyDescent="0.15">
      <c r="J977" s="20">
        <v>4.8550000000000004</v>
      </c>
    </row>
    <row r="978" spans="10:10" x14ac:dyDescent="0.15">
      <c r="J978" s="20">
        <v>4.8600000000000003</v>
      </c>
    </row>
    <row r="979" spans="10:10" x14ac:dyDescent="0.15">
      <c r="J979" s="20">
        <v>4.8650000000000002</v>
      </c>
    </row>
    <row r="980" spans="10:10" x14ac:dyDescent="0.15">
      <c r="J980" s="20">
        <v>4.87</v>
      </c>
    </row>
    <row r="981" spans="10:10" x14ac:dyDescent="0.15">
      <c r="J981" s="20">
        <v>4.875</v>
      </c>
    </row>
    <row r="982" spans="10:10" x14ac:dyDescent="0.15">
      <c r="J982" s="20">
        <v>4.88</v>
      </c>
    </row>
    <row r="983" spans="10:10" x14ac:dyDescent="0.15">
      <c r="J983" s="20">
        <v>4.8849999999999998</v>
      </c>
    </row>
    <row r="984" spans="10:10" x14ac:dyDescent="0.15">
      <c r="J984" s="20">
        <v>4.8899999999999997</v>
      </c>
    </row>
    <row r="985" spans="10:10" x14ac:dyDescent="0.15">
      <c r="J985" s="20">
        <v>4.8949999999999996</v>
      </c>
    </row>
    <row r="986" spans="10:10" x14ac:dyDescent="0.15">
      <c r="J986" s="20">
        <v>4.9000000000000004</v>
      </c>
    </row>
    <row r="987" spans="10:10" x14ac:dyDescent="0.15">
      <c r="J987" s="20">
        <v>4.9050000000000002</v>
      </c>
    </row>
    <row r="988" spans="10:10" x14ac:dyDescent="0.15">
      <c r="J988" s="20">
        <v>4.91</v>
      </c>
    </row>
    <row r="989" spans="10:10" x14ac:dyDescent="0.15">
      <c r="J989" s="20">
        <v>4.915</v>
      </c>
    </row>
    <row r="990" spans="10:10" x14ac:dyDescent="0.15">
      <c r="J990" s="20">
        <v>4.92</v>
      </c>
    </row>
    <row r="991" spans="10:10" x14ac:dyDescent="0.15">
      <c r="J991" s="20">
        <v>4.9249999999999998</v>
      </c>
    </row>
    <row r="992" spans="10:10" x14ac:dyDescent="0.15">
      <c r="J992" s="20">
        <v>4.93</v>
      </c>
    </row>
    <row r="993" spans="10:10" x14ac:dyDescent="0.15">
      <c r="J993" s="20">
        <v>4.9349999999999996</v>
      </c>
    </row>
    <row r="994" spans="10:10" x14ac:dyDescent="0.15">
      <c r="J994" s="20">
        <v>4.9400000000000004</v>
      </c>
    </row>
    <row r="995" spans="10:10" x14ac:dyDescent="0.15">
      <c r="J995" s="20">
        <v>4.9450000000000003</v>
      </c>
    </row>
    <row r="996" spans="10:10" x14ac:dyDescent="0.15">
      <c r="J996" s="20">
        <v>4.95</v>
      </c>
    </row>
    <row r="997" spans="10:10" x14ac:dyDescent="0.15">
      <c r="J997" s="20">
        <v>4.9550000000000001</v>
      </c>
    </row>
    <row r="998" spans="10:10" x14ac:dyDescent="0.15">
      <c r="J998" s="20">
        <v>4.96</v>
      </c>
    </row>
    <row r="999" spans="10:10" x14ac:dyDescent="0.15">
      <c r="J999" s="20">
        <v>4.9649999999999999</v>
      </c>
    </row>
    <row r="1000" spans="10:10" x14ac:dyDescent="0.15">
      <c r="J1000" s="20">
        <v>4.97</v>
      </c>
    </row>
    <row r="1001" spans="10:10" x14ac:dyDescent="0.15">
      <c r="J1001" s="20">
        <v>4.9749999999999996</v>
      </c>
    </row>
    <row r="1002" spans="10:10" x14ac:dyDescent="0.15">
      <c r="J1002" s="20">
        <v>4.9800000000000004</v>
      </c>
    </row>
    <row r="1003" spans="10:10" x14ac:dyDescent="0.15">
      <c r="J1003" s="20">
        <v>4.9850000000000003</v>
      </c>
    </row>
    <row r="1004" spans="10:10" x14ac:dyDescent="0.15">
      <c r="J1004" s="20">
        <v>4.99</v>
      </c>
    </row>
    <row r="1005" spans="10:10" x14ac:dyDescent="0.15">
      <c r="J1005" s="20">
        <v>4.9950000000000001</v>
      </c>
    </row>
    <row r="1006" spans="10:10" x14ac:dyDescent="0.15">
      <c r="J1006" s="20">
        <v>5</v>
      </c>
    </row>
    <row r="1007" spans="10:10" x14ac:dyDescent="0.15">
      <c r="J1007" s="20">
        <v>5.0049999999999999</v>
      </c>
    </row>
    <row r="1008" spans="10:10" x14ac:dyDescent="0.15">
      <c r="J1008" s="20">
        <v>5.01</v>
      </c>
    </row>
    <row r="1009" spans="10:10" x14ac:dyDescent="0.15">
      <c r="J1009" s="20">
        <v>5.0149999999999997</v>
      </c>
    </row>
    <row r="1010" spans="10:10" x14ac:dyDescent="0.15">
      <c r="J1010" s="20">
        <v>5.0199999999999996</v>
      </c>
    </row>
    <row r="1011" spans="10:10" x14ac:dyDescent="0.15">
      <c r="J1011" s="20">
        <v>5.0250000000000004</v>
      </c>
    </row>
    <row r="1012" spans="10:10" x14ac:dyDescent="0.15">
      <c r="J1012" s="20">
        <v>5.03</v>
      </c>
    </row>
    <row r="1013" spans="10:10" x14ac:dyDescent="0.15">
      <c r="J1013" s="20">
        <v>5.0350000000000001</v>
      </c>
    </row>
    <row r="1014" spans="10:10" x14ac:dyDescent="0.15">
      <c r="J1014" s="20">
        <v>5.04</v>
      </c>
    </row>
    <row r="1015" spans="10:10" x14ac:dyDescent="0.15">
      <c r="J1015" s="20">
        <v>5.0449999999999999</v>
      </c>
    </row>
    <row r="1016" spans="10:10" x14ac:dyDescent="0.15">
      <c r="J1016" s="20">
        <v>5.05</v>
      </c>
    </row>
    <row r="1017" spans="10:10" x14ac:dyDescent="0.15">
      <c r="J1017" s="20">
        <v>5.0549999999999997</v>
      </c>
    </row>
    <row r="1018" spans="10:10" x14ac:dyDescent="0.15">
      <c r="J1018" s="20">
        <v>5.0599999999999996</v>
      </c>
    </row>
    <row r="1019" spans="10:10" x14ac:dyDescent="0.15">
      <c r="J1019" s="20">
        <v>5.0650000000000004</v>
      </c>
    </row>
    <row r="1020" spans="10:10" x14ac:dyDescent="0.15">
      <c r="J1020" s="20">
        <v>5.07</v>
      </c>
    </row>
    <row r="1021" spans="10:10" x14ac:dyDescent="0.15">
      <c r="J1021" s="20">
        <v>5.0750000000000002</v>
      </c>
    </row>
    <row r="1022" spans="10:10" x14ac:dyDescent="0.15">
      <c r="J1022" s="20">
        <v>5.08</v>
      </c>
    </row>
    <row r="1023" spans="10:10" x14ac:dyDescent="0.15">
      <c r="J1023" s="20">
        <v>5.085</v>
      </c>
    </row>
    <row r="1024" spans="10:10" x14ac:dyDescent="0.15">
      <c r="J1024" s="20">
        <v>5.09</v>
      </c>
    </row>
    <row r="1025" spans="10:10" x14ac:dyDescent="0.15">
      <c r="J1025" s="20">
        <v>5.0949999999999998</v>
      </c>
    </row>
    <row r="1026" spans="10:10" x14ac:dyDescent="0.15">
      <c r="J1026" s="20">
        <v>5.0999999999999996</v>
      </c>
    </row>
    <row r="1027" spans="10:10" x14ac:dyDescent="0.15">
      <c r="J1027" s="20">
        <v>5.1050000000000004</v>
      </c>
    </row>
    <row r="1028" spans="10:10" x14ac:dyDescent="0.15">
      <c r="J1028" s="20">
        <v>5.1100000000000003</v>
      </c>
    </row>
    <row r="1029" spans="10:10" x14ac:dyDescent="0.15">
      <c r="J1029" s="20">
        <v>5.1150000000000002</v>
      </c>
    </row>
    <row r="1030" spans="10:10" x14ac:dyDescent="0.15">
      <c r="J1030" s="20">
        <v>5.12</v>
      </c>
    </row>
    <row r="1031" spans="10:10" x14ac:dyDescent="0.15">
      <c r="J1031" s="20">
        <v>5.125</v>
      </c>
    </row>
    <row r="1032" spans="10:10" x14ac:dyDescent="0.15">
      <c r="J1032" s="20">
        <v>5.13</v>
      </c>
    </row>
    <row r="1033" spans="10:10" x14ac:dyDescent="0.15">
      <c r="J1033" s="20">
        <v>5.1349999999999998</v>
      </c>
    </row>
    <row r="1034" spans="10:10" x14ac:dyDescent="0.15">
      <c r="J1034" s="20">
        <v>5.14</v>
      </c>
    </row>
    <row r="1035" spans="10:10" x14ac:dyDescent="0.15">
      <c r="J1035" s="20">
        <v>5.1449999999999996</v>
      </c>
    </row>
    <row r="1036" spans="10:10" x14ac:dyDescent="0.15">
      <c r="J1036" s="20">
        <v>5.15</v>
      </c>
    </row>
    <row r="1037" spans="10:10" x14ac:dyDescent="0.15">
      <c r="J1037" s="20">
        <v>5.1550000000000002</v>
      </c>
    </row>
    <row r="1038" spans="10:10" x14ac:dyDescent="0.15">
      <c r="J1038" s="20">
        <v>5.16</v>
      </c>
    </row>
    <row r="1039" spans="10:10" x14ac:dyDescent="0.15">
      <c r="J1039" s="20">
        <v>5.165</v>
      </c>
    </row>
    <row r="1040" spans="10:10" x14ac:dyDescent="0.15">
      <c r="J1040" s="20">
        <v>5.17</v>
      </c>
    </row>
    <row r="1041" spans="10:10" x14ac:dyDescent="0.15">
      <c r="J1041" s="20">
        <v>5.1749999999999998</v>
      </c>
    </row>
    <row r="1042" spans="10:10" x14ac:dyDescent="0.15">
      <c r="J1042" s="20">
        <v>5.18</v>
      </c>
    </row>
    <row r="1043" spans="10:10" x14ac:dyDescent="0.15">
      <c r="J1043" s="20">
        <v>5.1849999999999996</v>
      </c>
    </row>
    <row r="1044" spans="10:10" x14ac:dyDescent="0.15">
      <c r="J1044" s="20">
        <v>5.19</v>
      </c>
    </row>
    <row r="1045" spans="10:10" x14ac:dyDescent="0.15">
      <c r="J1045" s="20">
        <v>5.1950000000000003</v>
      </c>
    </row>
    <row r="1046" spans="10:10" x14ac:dyDescent="0.15">
      <c r="J1046" s="20">
        <v>5.2</v>
      </c>
    </row>
    <row r="1047" spans="10:10" x14ac:dyDescent="0.15">
      <c r="J1047" s="20">
        <v>5.2050000000000001</v>
      </c>
    </row>
    <row r="1048" spans="10:10" x14ac:dyDescent="0.15">
      <c r="J1048" s="20">
        <v>5.21</v>
      </c>
    </row>
    <row r="1049" spans="10:10" x14ac:dyDescent="0.15">
      <c r="J1049" s="20">
        <v>5.2149999999999999</v>
      </c>
    </row>
    <row r="1050" spans="10:10" x14ac:dyDescent="0.15">
      <c r="J1050" s="20">
        <v>5.22</v>
      </c>
    </row>
    <row r="1051" spans="10:10" x14ac:dyDescent="0.15">
      <c r="J1051" s="20">
        <v>5.2249999999999996</v>
      </c>
    </row>
    <row r="1052" spans="10:10" x14ac:dyDescent="0.15">
      <c r="J1052" s="20">
        <v>5.23</v>
      </c>
    </row>
    <row r="1053" spans="10:10" x14ac:dyDescent="0.15">
      <c r="J1053" s="20">
        <v>5.2349999999999897</v>
      </c>
    </row>
    <row r="1054" spans="10:10" x14ac:dyDescent="0.15">
      <c r="J1054" s="20">
        <v>5.2399999999999904</v>
      </c>
    </row>
    <row r="1055" spans="10:10" x14ac:dyDescent="0.15">
      <c r="J1055" s="20">
        <v>5.2449999999999903</v>
      </c>
    </row>
    <row r="1056" spans="10:10" x14ac:dyDescent="0.15">
      <c r="J1056" s="20">
        <v>5.2499999999999902</v>
      </c>
    </row>
    <row r="1057" spans="10:10" x14ac:dyDescent="0.15">
      <c r="J1057" s="20">
        <v>5.2549999999999901</v>
      </c>
    </row>
    <row r="1058" spans="10:10" x14ac:dyDescent="0.15">
      <c r="J1058" s="20">
        <v>5.25999999999999</v>
      </c>
    </row>
    <row r="1059" spans="10:10" x14ac:dyDescent="0.15">
      <c r="J1059" s="20">
        <v>5.2649999999999899</v>
      </c>
    </row>
    <row r="1060" spans="10:10" x14ac:dyDescent="0.15">
      <c r="J1060" s="20">
        <v>5.2699999999999898</v>
      </c>
    </row>
    <row r="1061" spans="10:10" x14ac:dyDescent="0.15">
      <c r="J1061" s="20">
        <v>5.2749999999999897</v>
      </c>
    </row>
    <row r="1062" spans="10:10" x14ac:dyDescent="0.15">
      <c r="J1062" s="20">
        <v>5.2799999999999896</v>
      </c>
    </row>
    <row r="1063" spans="10:10" x14ac:dyDescent="0.15">
      <c r="J1063" s="20">
        <v>5.2849999999999904</v>
      </c>
    </row>
    <row r="1064" spans="10:10" x14ac:dyDescent="0.15">
      <c r="J1064" s="20">
        <v>5.2899999999999903</v>
      </c>
    </row>
    <row r="1065" spans="10:10" x14ac:dyDescent="0.15">
      <c r="J1065" s="20">
        <v>5.2949999999999902</v>
      </c>
    </row>
    <row r="1066" spans="10:10" x14ac:dyDescent="0.15">
      <c r="J1066" s="20">
        <v>5.2999999999999901</v>
      </c>
    </row>
    <row r="1067" spans="10:10" x14ac:dyDescent="0.15">
      <c r="J1067" s="20">
        <v>5.3049999999999899</v>
      </c>
    </row>
    <row r="1068" spans="10:10" x14ac:dyDescent="0.15">
      <c r="J1068" s="20">
        <v>5.3099999999999898</v>
      </c>
    </row>
    <row r="1069" spans="10:10" x14ac:dyDescent="0.15">
      <c r="J1069" s="20">
        <v>5.3149999999999897</v>
      </c>
    </row>
    <row r="1070" spans="10:10" x14ac:dyDescent="0.15">
      <c r="J1070" s="20">
        <v>5.3199999999999896</v>
      </c>
    </row>
    <row r="1071" spans="10:10" x14ac:dyDescent="0.15">
      <c r="J1071" s="20">
        <v>5.3249999999999904</v>
      </c>
    </row>
    <row r="1072" spans="10:10" x14ac:dyDescent="0.15">
      <c r="J1072" s="20">
        <v>5.3299999999999903</v>
      </c>
    </row>
    <row r="1073" spans="10:10" x14ac:dyDescent="0.15">
      <c r="J1073" s="20">
        <v>5.3349999999999902</v>
      </c>
    </row>
    <row r="1074" spans="10:10" x14ac:dyDescent="0.15">
      <c r="J1074" s="20">
        <v>5.3399999999999901</v>
      </c>
    </row>
    <row r="1075" spans="10:10" x14ac:dyDescent="0.15">
      <c r="J1075" s="20">
        <v>5.34499999999999</v>
      </c>
    </row>
    <row r="1076" spans="10:10" x14ac:dyDescent="0.15">
      <c r="J1076" s="20">
        <v>5.3499999999999899</v>
      </c>
    </row>
    <row r="1077" spans="10:10" x14ac:dyDescent="0.15">
      <c r="J1077" s="20">
        <v>5.3549999999999898</v>
      </c>
    </row>
    <row r="1078" spans="10:10" x14ac:dyDescent="0.15">
      <c r="J1078" s="20">
        <v>5.3599999999999897</v>
      </c>
    </row>
    <row r="1079" spans="10:10" x14ac:dyDescent="0.15">
      <c r="J1079" s="20">
        <v>5.3649999999999904</v>
      </c>
    </row>
    <row r="1080" spans="10:10" x14ac:dyDescent="0.15">
      <c r="J1080" s="20">
        <v>5.3699999999999903</v>
      </c>
    </row>
    <row r="1081" spans="10:10" x14ac:dyDescent="0.15">
      <c r="J1081" s="20">
        <v>5.3749999999999902</v>
      </c>
    </row>
    <row r="1082" spans="10:10" x14ac:dyDescent="0.15">
      <c r="J1082" s="20">
        <v>5.3799999999999901</v>
      </c>
    </row>
    <row r="1083" spans="10:10" x14ac:dyDescent="0.15">
      <c r="J1083" s="20">
        <v>5.38499999999999</v>
      </c>
    </row>
    <row r="1084" spans="10:10" x14ac:dyDescent="0.15">
      <c r="J1084" s="20">
        <v>5.3899999999999899</v>
      </c>
    </row>
    <row r="1085" spans="10:10" x14ac:dyDescent="0.15">
      <c r="J1085" s="20">
        <v>5.3949999999999898</v>
      </c>
    </row>
    <row r="1086" spans="10:10" x14ac:dyDescent="0.15">
      <c r="J1086" s="20">
        <v>5.3999999999999897</v>
      </c>
    </row>
    <row r="1087" spans="10:10" x14ac:dyDescent="0.15">
      <c r="J1087" s="20">
        <v>5.4049999999999896</v>
      </c>
    </row>
    <row r="1088" spans="10:10" x14ac:dyDescent="0.15">
      <c r="J1088" s="20">
        <v>5.4099999999999904</v>
      </c>
    </row>
    <row r="1089" spans="10:10" x14ac:dyDescent="0.15">
      <c r="J1089" s="20">
        <v>5.4149999999999903</v>
      </c>
    </row>
    <row r="1090" spans="10:10" x14ac:dyDescent="0.15">
      <c r="J1090" s="20">
        <v>5.4199999999999902</v>
      </c>
    </row>
    <row r="1091" spans="10:10" x14ac:dyDescent="0.15">
      <c r="J1091" s="20">
        <v>5.4249999999999901</v>
      </c>
    </row>
    <row r="1092" spans="10:10" x14ac:dyDescent="0.15">
      <c r="J1092" s="20">
        <v>5.4299999999999899</v>
      </c>
    </row>
    <row r="1093" spans="10:10" x14ac:dyDescent="0.15">
      <c r="J1093" s="20">
        <v>5.4349999999999898</v>
      </c>
    </row>
    <row r="1094" spans="10:10" x14ac:dyDescent="0.15">
      <c r="J1094" s="20">
        <v>5.4399999999999897</v>
      </c>
    </row>
    <row r="1095" spans="10:10" x14ac:dyDescent="0.15">
      <c r="J1095" s="20">
        <v>5.4449999999999896</v>
      </c>
    </row>
    <row r="1096" spans="10:10" x14ac:dyDescent="0.15">
      <c r="J1096" s="20">
        <v>5.4499999999999904</v>
      </c>
    </row>
    <row r="1097" spans="10:10" x14ac:dyDescent="0.15">
      <c r="J1097" s="20">
        <v>5.4549999999999903</v>
      </c>
    </row>
    <row r="1098" spans="10:10" x14ac:dyDescent="0.15">
      <c r="J1098" s="20">
        <v>5.4599999999999902</v>
      </c>
    </row>
    <row r="1099" spans="10:10" x14ac:dyDescent="0.15">
      <c r="J1099" s="20">
        <v>5.4649999999999901</v>
      </c>
    </row>
    <row r="1100" spans="10:10" x14ac:dyDescent="0.15">
      <c r="J1100" s="20">
        <v>5.46999999999999</v>
      </c>
    </row>
    <row r="1101" spans="10:10" x14ac:dyDescent="0.15">
      <c r="J1101" s="20">
        <v>5.4749999999999899</v>
      </c>
    </row>
    <row r="1102" spans="10:10" x14ac:dyDescent="0.15">
      <c r="J1102" s="20">
        <v>5.4799999999999898</v>
      </c>
    </row>
    <row r="1103" spans="10:10" x14ac:dyDescent="0.15">
      <c r="J1103" s="20">
        <v>5.4849999999999897</v>
      </c>
    </row>
    <row r="1104" spans="10:10" x14ac:dyDescent="0.15">
      <c r="J1104" s="20">
        <v>5.4899999999999904</v>
      </c>
    </row>
    <row r="1105" spans="10:10" x14ac:dyDescent="0.15">
      <c r="J1105" s="20">
        <v>5.4949999999999903</v>
      </c>
    </row>
    <row r="1106" spans="10:10" x14ac:dyDescent="0.15">
      <c r="J1106" s="20">
        <v>5.4999999999999902</v>
      </c>
    </row>
  </sheetData>
  <sortState xmlns:xlrd2="http://schemas.microsoft.com/office/spreadsheetml/2017/richdata2" ref="AD28:AD52">
    <sortCondition descending="1" ref="AD28"/>
  </sortState>
  <mergeCells count="3">
    <mergeCell ref="B19:E21"/>
    <mergeCell ref="X1:Z1"/>
    <mergeCell ref="AB1:AD1"/>
  </mergeCells>
  <phoneticPr fontId="2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SV_Calc100">
                <anchor moveWithCells="1" sizeWithCells="1">
                  <from>
                    <xdr:col>0</xdr:col>
                    <xdr:colOff>304800</xdr:colOff>
                    <xdr:row>3</xdr:row>
                    <xdr:rowOff>28575</xdr:rowOff>
                  </from>
                  <to>
                    <xdr:col>2</xdr:col>
                    <xdr:colOff>200025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Histgram2">
                <anchor moveWithCells="1" sizeWithCells="1">
                  <from>
                    <xdr:col>0</xdr:col>
                    <xdr:colOff>323850</xdr:colOff>
                    <xdr:row>10</xdr:row>
                    <xdr:rowOff>19050</xdr:rowOff>
                  </from>
                  <to>
                    <xdr:col>2</xdr:col>
                    <xdr:colOff>219075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CSV_Calc075">
                <anchor moveWithCells="1" sizeWithCells="1">
                  <from>
                    <xdr:col>0</xdr:col>
                    <xdr:colOff>304800</xdr:colOff>
                    <xdr:row>6</xdr:row>
                    <xdr:rowOff>28575</xdr:rowOff>
                  </from>
                  <to>
                    <xdr:col>2</xdr:col>
                    <xdr:colOff>200025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Save_CSV">
                <anchor moveWithCells="1" sizeWithCells="1">
                  <from>
                    <xdr:col>5</xdr:col>
                    <xdr:colOff>66675</xdr:colOff>
                    <xdr:row>11</xdr:row>
                    <xdr:rowOff>38100</xdr:rowOff>
                  </from>
                  <to>
                    <xdr:col>6</xdr:col>
                    <xdr:colOff>342900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Histgram2afterNGfilter">
                <anchor moveWithCells="1" sizeWithCells="1">
                  <from>
                    <xdr:col>2</xdr:col>
                    <xdr:colOff>428625</xdr:colOff>
                    <xdr:row>10</xdr:row>
                    <xdr:rowOff>28575</xdr:rowOff>
                  </from>
                  <to>
                    <xdr:col>4</xdr:col>
                    <xdr:colOff>323850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NG_Analyze_solo">
                <anchor moveWithCells="1" sizeWithCells="1">
                  <from>
                    <xdr:col>0</xdr:col>
                    <xdr:colOff>400050</xdr:colOff>
                    <xdr:row>14</xdr:row>
                    <xdr:rowOff>66675</xdr:rowOff>
                  </from>
                  <to>
                    <xdr:col>1</xdr:col>
                    <xdr:colOff>676275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裾評価">
                <anchor moveWithCells="1" sizeWithCells="1">
                  <from>
                    <xdr:col>5</xdr:col>
                    <xdr:colOff>133350</xdr:colOff>
                    <xdr:row>14</xdr:row>
                    <xdr:rowOff>66675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208"/>
  <sheetViews>
    <sheetView workbookViewId="0"/>
  </sheetViews>
  <sheetFormatPr defaultRowHeight="13.5" x14ac:dyDescent="0.15"/>
  <sheetData>
    <row r="1" spans="1:13" x14ac:dyDescent="0.15">
      <c r="I1" t="s">
        <v>116</v>
      </c>
    </row>
    <row r="2" spans="1:13" x14ac:dyDescent="0.15">
      <c r="I2" s="30" t="s">
        <v>115</v>
      </c>
      <c r="J2" s="30" t="s">
        <v>108</v>
      </c>
      <c r="K2" s="30" t="s">
        <v>109</v>
      </c>
      <c r="L2" s="30" t="s">
        <v>110</v>
      </c>
      <c r="M2" s="30" t="s">
        <v>111</v>
      </c>
    </row>
    <row r="3" spans="1:13" x14ac:dyDescent="0.15">
      <c r="I3" s="31"/>
      <c r="J3" s="29"/>
      <c r="K3" s="29"/>
      <c r="L3" s="29"/>
      <c r="M3" s="29"/>
    </row>
    <row r="4" spans="1:13" x14ac:dyDescent="0.15">
      <c r="C4" s="32"/>
      <c r="D4">
        <f>SUM(D7:D208)</f>
        <v>0</v>
      </c>
      <c r="E4">
        <f>SUM(E7:E208)</f>
        <v>0</v>
      </c>
      <c r="F4">
        <f>SUM(F7:F208)</f>
        <v>0</v>
      </c>
      <c r="G4">
        <f>SUM(G7:G208)</f>
        <v>0</v>
      </c>
    </row>
    <row r="5" spans="1:13" x14ac:dyDescent="0.15">
      <c r="A5">
        <v>0.02</v>
      </c>
      <c r="E5" t="s">
        <v>112</v>
      </c>
      <c r="G5" t="s">
        <v>112</v>
      </c>
    </row>
    <row r="6" spans="1:13" x14ac:dyDescent="0.15">
      <c r="D6" s="28" t="s">
        <v>65</v>
      </c>
      <c r="E6" s="28" t="s">
        <v>69</v>
      </c>
      <c r="F6" s="28" t="s">
        <v>76</v>
      </c>
      <c r="G6" s="28" t="s">
        <v>79</v>
      </c>
    </row>
    <row r="7" spans="1:13" x14ac:dyDescent="0.15">
      <c r="A7" t="s">
        <v>113</v>
      </c>
      <c r="C7" t="s">
        <v>114</v>
      </c>
      <c r="D7">
        <f>COUNTIF(N_x!$A$1:$JV$432,"&lt;"&amp;$C8)</f>
        <v>0</v>
      </c>
      <c r="E7">
        <f>COUNTIF(S_x!$A$1:$JV$432,"&gt;"&amp;$C8)</f>
        <v>0</v>
      </c>
      <c r="F7">
        <f>COUNTIF(E_y!$A$1:$JV$432,"&lt;"&amp;$C8)</f>
        <v>0</v>
      </c>
      <c r="G7">
        <f>COUNTIF(W_y!$A$1:$JV$432,"&gt;"&amp;$C8)</f>
        <v>0</v>
      </c>
    </row>
    <row r="8" spans="1:13" x14ac:dyDescent="0.15">
      <c r="A8">
        <v>0</v>
      </c>
      <c r="C8">
        <v>0</v>
      </c>
      <c r="D8">
        <f>COUNTIF(N_x!$A$1:$JV$432,"="&amp;$C8)</f>
        <v>0</v>
      </c>
      <c r="E8">
        <f>COUNTIF(S_x!$A$1:$JV$432,"="&amp;$C8)</f>
        <v>0</v>
      </c>
      <c r="F8">
        <f>COUNTIF(E_y!$A$1:$JV$432,"="&amp;$C8)</f>
        <v>0</v>
      </c>
      <c r="G8">
        <f>COUNTIF(W_y!$A$1:$JV$432,"="&amp;$C8)</f>
        <v>0</v>
      </c>
    </row>
    <row r="9" spans="1:13" x14ac:dyDescent="0.15">
      <c r="A9" t="str">
        <f>B9&amp;"-"&amp;C9</f>
        <v>0-0.02</v>
      </c>
      <c r="B9">
        <f>C8</f>
        <v>0</v>
      </c>
      <c r="C9">
        <f t="shared" ref="C9:C72" si="0">B9+$A$5</f>
        <v>0.02</v>
      </c>
      <c r="D9">
        <f>COUNTIF(N_x!$A$1:$JV$432,"&lt;"&amp;$C9)-SUM(D$7:D8)</f>
        <v>0</v>
      </c>
      <c r="E9">
        <f>COUNTIF(S_x!$A$1:$JV$432,"&gt;"&amp;$C9*-1)-SUM(E$7:E8)</f>
        <v>0</v>
      </c>
      <c r="F9">
        <f>COUNTIF(E_y!$A$1:$JV$432,"&lt;"&amp;$C9)-SUM(F$7:F8)</f>
        <v>0</v>
      </c>
      <c r="G9">
        <f>COUNTIF(W_y!$A$1:$JV$432,"&gt;"&amp;$C9*-1)-SUM(G$7:G8)</f>
        <v>0</v>
      </c>
    </row>
    <row r="10" spans="1:13" x14ac:dyDescent="0.15">
      <c r="A10" t="str">
        <f t="shared" ref="A10:A73" si="1">B10&amp;"-"&amp;C10</f>
        <v>0.02-0.04</v>
      </c>
      <c r="B10">
        <f t="shared" ref="B10:B73" si="2">C9</f>
        <v>0.02</v>
      </c>
      <c r="C10">
        <f t="shared" si="0"/>
        <v>0.04</v>
      </c>
      <c r="D10">
        <f>COUNTIF(N_x!$A$1:$JV$432,"&lt;"&amp;$C10)-SUM(D$7:D9)</f>
        <v>0</v>
      </c>
      <c r="E10">
        <f>COUNTIF(S_x!$A$1:$JV$432,"&gt;"&amp;$C10*-1)-SUM(E$7:E9)</f>
        <v>0</v>
      </c>
      <c r="F10">
        <f>COUNTIF(E_y!$A$1:$JV$432,"&lt;"&amp;$C10)-SUM(F$7:F9)</f>
        <v>0</v>
      </c>
      <c r="G10">
        <f>COUNTIF(W_y!$A$1:$JV$432,"&gt;"&amp;$C10*-1)-SUM(G$7:G9)</f>
        <v>0</v>
      </c>
    </row>
    <row r="11" spans="1:13" x14ac:dyDescent="0.15">
      <c r="A11" t="str">
        <f t="shared" si="1"/>
        <v>0.04-0.06</v>
      </c>
      <c r="B11">
        <f t="shared" si="2"/>
        <v>0.04</v>
      </c>
      <c r="C11">
        <f t="shared" si="0"/>
        <v>0.06</v>
      </c>
      <c r="D11">
        <f>COUNTIF(N_x!$A$1:$JV$432,"&lt;"&amp;$C11)-SUM(D$7:D10)</f>
        <v>0</v>
      </c>
      <c r="E11">
        <f>COUNTIF(S_x!$A$1:$JV$432,"&gt;"&amp;$C11*-1)-SUM(E$7:E10)</f>
        <v>0</v>
      </c>
      <c r="F11">
        <f>COUNTIF(E_y!$A$1:$JV$432,"&lt;"&amp;$C11)-SUM(F$7:F10)</f>
        <v>0</v>
      </c>
      <c r="G11">
        <f>COUNTIF(W_y!$A$1:$JV$432,"&gt;"&amp;$C11*-1)-SUM(G$7:G10)</f>
        <v>0</v>
      </c>
    </row>
    <row r="12" spans="1:13" x14ac:dyDescent="0.15">
      <c r="A12" t="str">
        <f t="shared" si="1"/>
        <v>0.06-0.08</v>
      </c>
      <c r="B12">
        <f t="shared" si="2"/>
        <v>0.06</v>
      </c>
      <c r="C12">
        <f t="shared" si="0"/>
        <v>0.08</v>
      </c>
      <c r="D12">
        <f>COUNTIF(N_x!$A$1:$JV$432,"&lt;"&amp;$C12)-SUM(D$7:D11)</f>
        <v>0</v>
      </c>
      <c r="E12">
        <f>COUNTIF(S_x!$A$1:$JV$432,"&gt;"&amp;$C12*-1)-SUM(E$7:E11)</f>
        <v>0</v>
      </c>
      <c r="F12">
        <f>COUNTIF(E_y!$A$1:$JV$432,"&lt;"&amp;$C12)-SUM(F$7:F11)</f>
        <v>0</v>
      </c>
      <c r="G12">
        <f>COUNTIF(W_y!$A$1:$JV$432,"&gt;"&amp;$C12*-1)-SUM(G$7:G11)</f>
        <v>0</v>
      </c>
    </row>
    <row r="13" spans="1:13" x14ac:dyDescent="0.15">
      <c r="A13" t="str">
        <f t="shared" si="1"/>
        <v>0.08-0.1</v>
      </c>
      <c r="B13">
        <f t="shared" si="2"/>
        <v>0.08</v>
      </c>
      <c r="C13">
        <f t="shared" si="0"/>
        <v>0.1</v>
      </c>
      <c r="D13">
        <f>COUNTIF(N_x!$A$1:$JV$432,"&lt;"&amp;$C13)-SUM(D$7:D12)</f>
        <v>0</v>
      </c>
      <c r="E13">
        <f>COUNTIF(S_x!$A$1:$JV$432,"&gt;"&amp;$C13*-1)-SUM(E$7:E12)</f>
        <v>0</v>
      </c>
      <c r="F13">
        <f>COUNTIF(E_y!$A$1:$JV$432,"&lt;"&amp;$C13)-SUM(F$7:F12)</f>
        <v>0</v>
      </c>
      <c r="G13">
        <f>COUNTIF(W_y!$A$1:$JV$432,"&gt;"&amp;$C13*-1)-SUM(G$7:G12)</f>
        <v>0</v>
      </c>
    </row>
    <row r="14" spans="1:13" x14ac:dyDescent="0.15">
      <c r="A14" t="str">
        <f t="shared" si="1"/>
        <v>0.1-0.12</v>
      </c>
      <c r="B14">
        <f t="shared" si="2"/>
        <v>0.1</v>
      </c>
      <c r="C14">
        <f t="shared" si="0"/>
        <v>0.12000000000000001</v>
      </c>
      <c r="D14">
        <f>COUNTIF(N_x!$A$1:$JV$432,"&lt;"&amp;$C14)-SUM(D$7:D13)</f>
        <v>0</v>
      </c>
      <c r="E14">
        <f>COUNTIF(S_x!$A$1:$JV$432,"&gt;"&amp;$C14*-1)-SUM(E$7:E13)</f>
        <v>0</v>
      </c>
      <c r="F14">
        <f>COUNTIF(E_y!$A$1:$JV$432,"&lt;"&amp;$C14)-SUM(F$7:F13)</f>
        <v>0</v>
      </c>
      <c r="G14">
        <f>COUNTIF(W_y!$A$1:$JV$432,"&gt;"&amp;$C14*-1)-SUM(G$7:G13)</f>
        <v>0</v>
      </c>
    </row>
    <row r="15" spans="1:13" x14ac:dyDescent="0.15">
      <c r="A15" t="str">
        <f t="shared" si="1"/>
        <v>0.12-0.14</v>
      </c>
      <c r="B15">
        <f t="shared" si="2"/>
        <v>0.12000000000000001</v>
      </c>
      <c r="C15">
        <f t="shared" si="0"/>
        <v>0.14000000000000001</v>
      </c>
      <c r="D15">
        <f>COUNTIF(N_x!$A$1:$JV$432,"&lt;"&amp;$C15)-SUM(D$7:D14)</f>
        <v>0</v>
      </c>
      <c r="E15">
        <f>COUNTIF(S_x!$A$1:$JV$432,"&gt;"&amp;$C15*-1)-SUM(E$7:E14)</f>
        <v>0</v>
      </c>
      <c r="F15">
        <f>COUNTIF(E_y!$A$1:$JV$432,"&lt;"&amp;$C15)-SUM(F$7:F14)</f>
        <v>0</v>
      </c>
      <c r="G15">
        <f>COUNTIF(W_y!$A$1:$JV$432,"&gt;"&amp;$C15*-1)-SUM(G$7:G14)</f>
        <v>0</v>
      </c>
    </row>
    <row r="16" spans="1:13" x14ac:dyDescent="0.15">
      <c r="A16" t="str">
        <f t="shared" si="1"/>
        <v>0.14-0.16</v>
      </c>
      <c r="B16">
        <f t="shared" si="2"/>
        <v>0.14000000000000001</v>
      </c>
      <c r="C16">
        <f t="shared" si="0"/>
        <v>0.16</v>
      </c>
      <c r="D16">
        <f>COUNTIF(N_x!$A$1:$JV$432,"&lt;"&amp;$C16)-SUM(D$7:D15)</f>
        <v>0</v>
      </c>
      <c r="E16">
        <f>COUNTIF(S_x!$A$1:$JV$432,"&gt;"&amp;$C16*-1)-SUM(E$7:E15)</f>
        <v>0</v>
      </c>
      <c r="F16">
        <f>COUNTIF(E_y!$A$1:$JV$432,"&lt;"&amp;$C16)-SUM(F$7:F15)</f>
        <v>0</v>
      </c>
      <c r="G16">
        <f>COUNTIF(W_y!$A$1:$JV$432,"&gt;"&amp;$C16*-1)-SUM(G$7:G15)</f>
        <v>0</v>
      </c>
    </row>
    <row r="17" spans="1:7" x14ac:dyDescent="0.15">
      <c r="A17" t="str">
        <f t="shared" si="1"/>
        <v>0.16-0.18</v>
      </c>
      <c r="B17">
        <f t="shared" si="2"/>
        <v>0.16</v>
      </c>
      <c r="C17">
        <f t="shared" si="0"/>
        <v>0.18</v>
      </c>
      <c r="D17">
        <f>COUNTIF(N_x!$A$1:$JV$432,"&lt;"&amp;$C17)-SUM(D$7:D16)</f>
        <v>0</v>
      </c>
      <c r="E17">
        <f>COUNTIF(S_x!$A$1:$JV$432,"&gt;"&amp;$C17*-1)-SUM(E$7:E16)</f>
        <v>0</v>
      </c>
      <c r="F17">
        <f>COUNTIF(E_y!$A$1:$JV$432,"&lt;"&amp;$C17)-SUM(F$7:F16)</f>
        <v>0</v>
      </c>
      <c r="G17">
        <f>COUNTIF(W_y!$A$1:$JV$432,"&gt;"&amp;$C17*-1)-SUM(G$7:G16)</f>
        <v>0</v>
      </c>
    </row>
    <row r="18" spans="1:7" x14ac:dyDescent="0.15">
      <c r="A18" t="str">
        <f t="shared" si="1"/>
        <v>0.18-0.2</v>
      </c>
      <c r="B18">
        <f t="shared" si="2"/>
        <v>0.18</v>
      </c>
      <c r="C18">
        <f t="shared" si="0"/>
        <v>0.19999999999999998</v>
      </c>
      <c r="D18">
        <f>COUNTIF(N_x!$A$1:$JV$432,"&lt;"&amp;$C18)-SUM(D$7:D17)</f>
        <v>0</v>
      </c>
      <c r="E18">
        <f>COUNTIF(S_x!$A$1:$JV$432,"&gt;"&amp;$C18*-1)-SUM(E$7:E17)</f>
        <v>0</v>
      </c>
      <c r="F18">
        <f>COUNTIF(E_y!$A$1:$JV$432,"&lt;"&amp;$C18)-SUM(F$7:F17)</f>
        <v>0</v>
      </c>
      <c r="G18">
        <f>COUNTIF(W_y!$A$1:$JV$432,"&gt;"&amp;$C18*-1)-SUM(G$7:G17)</f>
        <v>0</v>
      </c>
    </row>
    <row r="19" spans="1:7" x14ac:dyDescent="0.15">
      <c r="A19" t="str">
        <f t="shared" si="1"/>
        <v>0.2-0.22</v>
      </c>
      <c r="B19">
        <f t="shared" si="2"/>
        <v>0.19999999999999998</v>
      </c>
      <c r="C19">
        <f t="shared" si="0"/>
        <v>0.21999999999999997</v>
      </c>
      <c r="D19">
        <f>COUNTIF(N_x!$A$1:$JV$432,"&lt;"&amp;$C19)-SUM(D$7:D18)</f>
        <v>0</v>
      </c>
      <c r="E19">
        <f>COUNTIF(S_x!$A$1:$JV$432,"&gt;"&amp;$C19*-1)-SUM(E$7:E18)</f>
        <v>0</v>
      </c>
      <c r="F19">
        <f>COUNTIF(E_y!$A$1:$JV$432,"&lt;"&amp;$C19)-SUM(F$7:F18)</f>
        <v>0</v>
      </c>
      <c r="G19">
        <f>COUNTIF(W_y!$A$1:$JV$432,"&gt;"&amp;$C19*-1)-SUM(G$7:G18)</f>
        <v>0</v>
      </c>
    </row>
    <row r="20" spans="1:7" x14ac:dyDescent="0.15">
      <c r="A20" t="str">
        <f t="shared" si="1"/>
        <v>0.22-0.24</v>
      </c>
      <c r="B20">
        <f t="shared" si="2"/>
        <v>0.21999999999999997</v>
      </c>
      <c r="C20">
        <f t="shared" si="0"/>
        <v>0.23999999999999996</v>
      </c>
      <c r="D20">
        <f>COUNTIF(N_x!$A$1:$JV$432,"&lt;"&amp;$C20)-SUM(D$7:D19)</f>
        <v>0</v>
      </c>
      <c r="E20">
        <f>COUNTIF(S_x!$A$1:$JV$432,"&gt;"&amp;$C20*-1)-SUM(E$7:E19)</f>
        <v>0</v>
      </c>
      <c r="F20">
        <f>COUNTIF(E_y!$A$1:$JV$432,"&lt;"&amp;$C20)-SUM(F$7:F19)</f>
        <v>0</v>
      </c>
      <c r="G20">
        <f>COUNTIF(W_y!$A$1:$JV$432,"&gt;"&amp;$C20*-1)-SUM(G$7:G19)</f>
        <v>0</v>
      </c>
    </row>
    <row r="21" spans="1:7" x14ac:dyDescent="0.15">
      <c r="A21" t="str">
        <f t="shared" si="1"/>
        <v>0.24-0.26</v>
      </c>
      <c r="B21">
        <f t="shared" si="2"/>
        <v>0.23999999999999996</v>
      </c>
      <c r="C21">
        <f t="shared" si="0"/>
        <v>0.25999999999999995</v>
      </c>
      <c r="D21">
        <f>COUNTIF(N_x!$A$1:$JV$432,"&lt;"&amp;$C21)-SUM(D$7:D20)</f>
        <v>0</v>
      </c>
      <c r="E21">
        <f>COUNTIF(S_x!$A$1:$JV$432,"&gt;"&amp;$C21*-1)-SUM(E$7:E20)</f>
        <v>0</v>
      </c>
      <c r="F21">
        <f>COUNTIF(E_y!$A$1:$JV$432,"&lt;"&amp;$C21)-SUM(F$7:F20)</f>
        <v>0</v>
      </c>
      <c r="G21">
        <f>COUNTIF(W_y!$A$1:$JV$432,"&gt;"&amp;$C21*-1)-SUM(G$7:G20)</f>
        <v>0</v>
      </c>
    </row>
    <row r="22" spans="1:7" x14ac:dyDescent="0.15">
      <c r="A22" t="str">
        <f t="shared" si="1"/>
        <v>0.26-0.28</v>
      </c>
      <c r="B22">
        <f t="shared" si="2"/>
        <v>0.25999999999999995</v>
      </c>
      <c r="C22">
        <f t="shared" si="0"/>
        <v>0.27999999999999997</v>
      </c>
      <c r="D22">
        <f>COUNTIF(N_x!$A$1:$JV$432,"&lt;"&amp;$C22)-SUM(D$7:D21)</f>
        <v>0</v>
      </c>
      <c r="E22">
        <f>COUNTIF(S_x!$A$1:$JV$432,"&gt;"&amp;$C22*-1)-SUM(E$7:E21)</f>
        <v>0</v>
      </c>
      <c r="F22">
        <f>COUNTIF(E_y!$A$1:$JV$432,"&lt;"&amp;$C22)-SUM(F$7:F21)</f>
        <v>0</v>
      </c>
      <c r="G22">
        <f>COUNTIF(W_y!$A$1:$JV$432,"&gt;"&amp;$C22*-1)-SUM(G$7:G21)</f>
        <v>0</v>
      </c>
    </row>
    <row r="23" spans="1:7" x14ac:dyDescent="0.15">
      <c r="A23" t="str">
        <f t="shared" si="1"/>
        <v>0.28-0.3</v>
      </c>
      <c r="B23">
        <f t="shared" si="2"/>
        <v>0.27999999999999997</v>
      </c>
      <c r="C23">
        <f t="shared" si="0"/>
        <v>0.3</v>
      </c>
      <c r="D23">
        <f>COUNTIF(N_x!$A$1:$JV$432,"&lt;"&amp;$C23)-SUM(D$7:D22)</f>
        <v>0</v>
      </c>
      <c r="E23">
        <f>COUNTIF(S_x!$A$1:$JV$432,"&gt;"&amp;$C23*-1)-SUM(E$7:E22)</f>
        <v>0</v>
      </c>
      <c r="F23">
        <f>COUNTIF(E_y!$A$1:$JV$432,"&lt;"&amp;$C23)-SUM(F$7:F22)</f>
        <v>0</v>
      </c>
      <c r="G23">
        <f>COUNTIF(W_y!$A$1:$JV$432,"&gt;"&amp;$C23*-1)-SUM(G$7:G22)</f>
        <v>0</v>
      </c>
    </row>
    <row r="24" spans="1:7" x14ac:dyDescent="0.15">
      <c r="A24" t="str">
        <f t="shared" si="1"/>
        <v>0.3-0.32</v>
      </c>
      <c r="B24">
        <f t="shared" si="2"/>
        <v>0.3</v>
      </c>
      <c r="C24">
        <f t="shared" si="0"/>
        <v>0.32</v>
      </c>
      <c r="D24">
        <f>COUNTIF(N_x!$A$1:$JV$432,"&lt;"&amp;$C24)-SUM(D$7:D23)</f>
        <v>0</v>
      </c>
      <c r="E24">
        <f>COUNTIF(S_x!$A$1:$JV$432,"&gt;"&amp;$C24*-1)-SUM(E$7:E23)</f>
        <v>0</v>
      </c>
      <c r="F24">
        <f>COUNTIF(E_y!$A$1:$JV$432,"&lt;"&amp;$C24)-SUM(F$7:F23)</f>
        <v>0</v>
      </c>
      <c r="G24">
        <f>COUNTIF(W_y!$A$1:$JV$432,"&gt;"&amp;$C24*-1)-SUM(G$7:G23)</f>
        <v>0</v>
      </c>
    </row>
    <row r="25" spans="1:7" x14ac:dyDescent="0.15">
      <c r="A25" t="str">
        <f t="shared" si="1"/>
        <v>0.32-0.34</v>
      </c>
      <c r="B25">
        <f t="shared" si="2"/>
        <v>0.32</v>
      </c>
      <c r="C25">
        <f t="shared" si="0"/>
        <v>0.34</v>
      </c>
      <c r="D25">
        <f>COUNTIF(N_x!$A$1:$JV$432,"&lt;"&amp;$C25)-SUM(D$7:D24)</f>
        <v>0</v>
      </c>
      <c r="E25">
        <f>COUNTIF(S_x!$A$1:$JV$432,"&gt;"&amp;$C25*-1)-SUM(E$7:E24)</f>
        <v>0</v>
      </c>
      <c r="F25">
        <f>COUNTIF(E_y!$A$1:$JV$432,"&lt;"&amp;$C25)-SUM(F$7:F24)</f>
        <v>0</v>
      </c>
      <c r="G25">
        <f>COUNTIF(W_y!$A$1:$JV$432,"&gt;"&amp;$C25*-1)-SUM(G$7:G24)</f>
        <v>0</v>
      </c>
    </row>
    <row r="26" spans="1:7" x14ac:dyDescent="0.15">
      <c r="A26" t="str">
        <f t="shared" si="1"/>
        <v>0.34-0.36</v>
      </c>
      <c r="B26">
        <f t="shared" si="2"/>
        <v>0.34</v>
      </c>
      <c r="C26">
        <f t="shared" si="0"/>
        <v>0.36000000000000004</v>
      </c>
      <c r="D26">
        <f>COUNTIF(N_x!$A$1:$JV$432,"&lt;"&amp;$C26)-SUM(D$7:D25)</f>
        <v>0</v>
      </c>
      <c r="E26">
        <f>COUNTIF(S_x!$A$1:$JV$432,"&gt;"&amp;$C26*-1)-SUM(E$7:E25)</f>
        <v>0</v>
      </c>
      <c r="F26">
        <f>COUNTIF(E_y!$A$1:$JV$432,"&lt;"&amp;$C26)-SUM(F$7:F25)</f>
        <v>0</v>
      </c>
      <c r="G26">
        <f>COUNTIF(W_y!$A$1:$JV$432,"&gt;"&amp;$C26*-1)-SUM(G$7:G25)</f>
        <v>0</v>
      </c>
    </row>
    <row r="27" spans="1:7" x14ac:dyDescent="0.15">
      <c r="A27" t="str">
        <f t="shared" si="1"/>
        <v>0.36-0.38</v>
      </c>
      <c r="B27">
        <f t="shared" si="2"/>
        <v>0.36000000000000004</v>
      </c>
      <c r="C27">
        <f t="shared" si="0"/>
        <v>0.38000000000000006</v>
      </c>
      <c r="D27">
        <f>COUNTIF(N_x!$A$1:$JV$432,"&lt;"&amp;$C27)-SUM(D$7:D26)</f>
        <v>0</v>
      </c>
      <c r="E27">
        <f>COUNTIF(S_x!$A$1:$JV$432,"&gt;"&amp;$C27*-1)-SUM(E$7:E26)</f>
        <v>0</v>
      </c>
      <c r="F27">
        <f>COUNTIF(E_y!$A$1:$JV$432,"&lt;"&amp;$C27)-SUM(F$7:F26)</f>
        <v>0</v>
      </c>
      <c r="G27">
        <f>COUNTIF(W_y!$A$1:$JV$432,"&gt;"&amp;$C27*-1)-SUM(G$7:G26)</f>
        <v>0</v>
      </c>
    </row>
    <row r="28" spans="1:7" x14ac:dyDescent="0.15">
      <c r="A28" t="str">
        <f t="shared" si="1"/>
        <v>0.38-0.4</v>
      </c>
      <c r="B28">
        <f t="shared" si="2"/>
        <v>0.38000000000000006</v>
      </c>
      <c r="C28">
        <f t="shared" si="0"/>
        <v>0.40000000000000008</v>
      </c>
      <c r="D28">
        <f>COUNTIF(N_x!$A$1:$JV$432,"&lt;"&amp;$C28)-SUM(D$7:D27)</f>
        <v>0</v>
      </c>
      <c r="E28">
        <f>COUNTIF(S_x!$A$1:$JV$432,"&gt;"&amp;$C28*-1)-SUM(E$7:E27)</f>
        <v>0</v>
      </c>
      <c r="F28">
        <f>COUNTIF(E_y!$A$1:$JV$432,"&lt;"&amp;$C28)-SUM(F$7:F27)</f>
        <v>0</v>
      </c>
      <c r="G28">
        <f>COUNTIF(W_y!$A$1:$JV$432,"&gt;"&amp;$C28*-1)-SUM(G$7:G27)</f>
        <v>0</v>
      </c>
    </row>
    <row r="29" spans="1:7" x14ac:dyDescent="0.15">
      <c r="A29" t="str">
        <f t="shared" si="1"/>
        <v>0.4-0.42</v>
      </c>
      <c r="B29">
        <f t="shared" si="2"/>
        <v>0.40000000000000008</v>
      </c>
      <c r="C29">
        <f t="shared" si="0"/>
        <v>0.4200000000000001</v>
      </c>
      <c r="D29">
        <f>COUNTIF(N_x!$A$1:$JV$432,"&lt;"&amp;$C29)-SUM(D$7:D28)</f>
        <v>0</v>
      </c>
      <c r="E29">
        <f>COUNTIF(S_x!$A$1:$JV$432,"&gt;"&amp;$C29*-1)-SUM(E$7:E28)</f>
        <v>0</v>
      </c>
      <c r="F29">
        <f>COUNTIF(E_y!$A$1:$JV$432,"&lt;"&amp;$C29)-SUM(F$7:F28)</f>
        <v>0</v>
      </c>
      <c r="G29">
        <f>COUNTIF(W_y!$A$1:$JV$432,"&gt;"&amp;$C29*-1)-SUM(G$7:G28)</f>
        <v>0</v>
      </c>
    </row>
    <row r="30" spans="1:7" x14ac:dyDescent="0.15">
      <c r="A30" t="str">
        <f t="shared" si="1"/>
        <v>0.42-0.44</v>
      </c>
      <c r="B30">
        <f t="shared" si="2"/>
        <v>0.4200000000000001</v>
      </c>
      <c r="C30">
        <f t="shared" si="0"/>
        <v>0.44000000000000011</v>
      </c>
      <c r="D30">
        <f>COUNTIF(N_x!$A$1:$JV$432,"&lt;"&amp;$C30)-SUM(D$7:D29)</f>
        <v>0</v>
      </c>
      <c r="E30">
        <f>COUNTIF(S_x!$A$1:$JV$432,"&gt;"&amp;$C30*-1)-SUM(E$7:E29)</f>
        <v>0</v>
      </c>
      <c r="F30">
        <f>COUNTIF(E_y!$A$1:$JV$432,"&lt;"&amp;$C30)-SUM(F$7:F29)</f>
        <v>0</v>
      </c>
      <c r="G30">
        <f>COUNTIF(W_y!$A$1:$JV$432,"&gt;"&amp;$C30*-1)-SUM(G$7:G29)</f>
        <v>0</v>
      </c>
    </row>
    <row r="31" spans="1:7" x14ac:dyDescent="0.15">
      <c r="A31" t="str">
        <f t="shared" si="1"/>
        <v>0.44-0.46</v>
      </c>
      <c r="B31">
        <f t="shared" si="2"/>
        <v>0.44000000000000011</v>
      </c>
      <c r="C31">
        <f t="shared" si="0"/>
        <v>0.46000000000000013</v>
      </c>
      <c r="D31">
        <f>COUNTIF(N_x!$A$1:$JV$432,"&lt;"&amp;$C31)-SUM(D$7:D30)</f>
        <v>0</v>
      </c>
      <c r="E31">
        <f>COUNTIF(S_x!$A$1:$JV$432,"&gt;"&amp;$C31*-1)-SUM(E$7:E30)</f>
        <v>0</v>
      </c>
      <c r="F31">
        <f>COUNTIF(E_y!$A$1:$JV$432,"&lt;"&amp;$C31)-SUM(F$7:F30)</f>
        <v>0</v>
      </c>
      <c r="G31">
        <f>COUNTIF(W_y!$A$1:$JV$432,"&gt;"&amp;$C31*-1)-SUM(G$7:G30)</f>
        <v>0</v>
      </c>
    </row>
    <row r="32" spans="1:7" x14ac:dyDescent="0.15">
      <c r="A32" t="str">
        <f t="shared" si="1"/>
        <v>0.46-0.48</v>
      </c>
      <c r="B32">
        <f t="shared" si="2"/>
        <v>0.46000000000000013</v>
      </c>
      <c r="C32">
        <f t="shared" si="0"/>
        <v>0.48000000000000015</v>
      </c>
      <c r="D32">
        <f>COUNTIF(N_x!$A$1:$JV$432,"&lt;"&amp;$C32)-SUM(D$7:D31)</f>
        <v>0</v>
      </c>
      <c r="E32">
        <f>COUNTIF(S_x!$A$1:$JV$432,"&gt;"&amp;$C32*-1)-SUM(E$7:E31)</f>
        <v>0</v>
      </c>
      <c r="F32">
        <f>COUNTIF(E_y!$A$1:$JV$432,"&lt;"&amp;$C32)-SUM(F$7:F31)</f>
        <v>0</v>
      </c>
      <c r="G32">
        <f>COUNTIF(W_y!$A$1:$JV$432,"&gt;"&amp;$C32*-1)-SUM(G$7:G31)</f>
        <v>0</v>
      </c>
    </row>
    <row r="33" spans="1:7" x14ac:dyDescent="0.15">
      <c r="A33" t="str">
        <f t="shared" si="1"/>
        <v>0.48-0.5</v>
      </c>
      <c r="B33">
        <f t="shared" si="2"/>
        <v>0.48000000000000015</v>
      </c>
      <c r="C33">
        <f t="shared" si="0"/>
        <v>0.50000000000000011</v>
      </c>
      <c r="D33">
        <f>COUNTIF(N_x!$A$1:$JV$432,"&lt;"&amp;$C33)-SUM(D$7:D32)</f>
        <v>0</v>
      </c>
      <c r="E33">
        <f>COUNTIF(S_x!$A$1:$JV$432,"&gt;"&amp;$C33*-1)-SUM(E$7:E32)</f>
        <v>0</v>
      </c>
      <c r="F33">
        <f>COUNTIF(E_y!$A$1:$JV$432,"&lt;"&amp;$C33)-SUM(F$7:F32)</f>
        <v>0</v>
      </c>
      <c r="G33">
        <f>COUNTIF(W_y!$A$1:$JV$432,"&gt;"&amp;$C33*-1)-SUM(G$7:G32)</f>
        <v>0</v>
      </c>
    </row>
    <row r="34" spans="1:7" x14ac:dyDescent="0.15">
      <c r="A34" t="str">
        <f t="shared" si="1"/>
        <v>0.5-0.52</v>
      </c>
      <c r="B34">
        <f t="shared" si="2"/>
        <v>0.50000000000000011</v>
      </c>
      <c r="C34">
        <f t="shared" si="0"/>
        <v>0.52000000000000013</v>
      </c>
      <c r="D34">
        <f>COUNTIF(N_x!$A$1:$JV$432,"&lt;"&amp;$C34)-SUM(D$7:D33)</f>
        <v>0</v>
      </c>
      <c r="E34">
        <f>COUNTIF(S_x!$A$1:$JV$432,"&gt;"&amp;$C34*-1)-SUM(E$7:E33)</f>
        <v>0</v>
      </c>
      <c r="F34">
        <f>COUNTIF(E_y!$A$1:$JV$432,"&lt;"&amp;$C34)-SUM(F$7:F33)</f>
        <v>0</v>
      </c>
      <c r="G34">
        <f>COUNTIF(W_y!$A$1:$JV$432,"&gt;"&amp;$C34*-1)-SUM(G$7:G33)</f>
        <v>0</v>
      </c>
    </row>
    <row r="35" spans="1:7" x14ac:dyDescent="0.15">
      <c r="A35" t="str">
        <f t="shared" si="1"/>
        <v>0.52-0.54</v>
      </c>
      <c r="B35">
        <f t="shared" si="2"/>
        <v>0.52000000000000013</v>
      </c>
      <c r="C35">
        <f t="shared" si="0"/>
        <v>0.54000000000000015</v>
      </c>
      <c r="D35">
        <f>COUNTIF(N_x!$A$1:$JV$432,"&lt;"&amp;$C35)-SUM(D$7:D34)</f>
        <v>0</v>
      </c>
      <c r="E35">
        <f>COUNTIF(S_x!$A$1:$JV$432,"&gt;"&amp;$C35*-1)-SUM(E$7:E34)</f>
        <v>0</v>
      </c>
      <c r="F35">
        <f>COUNTIF(E_y!$A$1:$JV$432,"&lt;"&amp;$C35)-SUM(F$7:F34)</f>
        <v>0</v>
      </c>
      <c r="G35">
        <f>COUNTIF(W_y!$A$1:$JV$432,"&gt;"&amp;$C35*-1)-SUM(G$7:G34)</f>
        <v>0</v>
      </c>
    </row>
    <row r="36" spans="1:7" x14ac:dyDescent="0.15">
      <c r="A36" t="str">
        <f t="shared" si="1"/>
        <v>0.54-0.56</v>
      </c>
      <c r="B36">
        <f t="shared" si="2"/>
        <v>0.54000000000000015</v>
      </c>
      <c r="C36">
        <f t="shared" si="0"/>
        <v>0.56000000000000016</v>
      </c>
      <c r="D36">
        <f>COUNTIF(N_x!$A$1:$JV$432,"&lt;"&amp;$C36)-SUM(D$7:D35)</f>
        <v>0</v>
      </c>
      <c r="E36">
        <f>COUNTIF(S_x!$A$1:$JV$432,"&gt;"&amp;$C36*-1)-SUM(E$7:E35)</f>
        <v>0</v>
      </c>
      <c r="F36">
        <f>COUNTIF(E_y!$A$1:$JV$432,"&lt;"&amp;$C36)-SUM(F$7:F35)</f>
        <v>0</v>
      </c>
      <c r="G36">
        <f>COUNTIF(W_y!$A$1:$JV$432,"&gt;"&amp;$C36*-1)-SUM(G$7:G35)</f>
        <v>0</v>
      </c>
    </row>
    <row r="37" spans="1:7" x14ac:dyDescent="0.15">
      <c r="A37" t="str">
        <f t="shared" si="1"/>
        <v>0.56-0.58</v>
      </c>
      <c r="B37">
        <f t="shared" si="2"/>
        <v>0.56000000000000016</v>
      </c>
      <c r="C37">
        <f t="shared" si="0"/>
        <v>0.58000000000000018</v>
      </c>
      <c r="D37">
        <f>COUNTIF(N_x!$A$1:$JV$432,"&lt;"&amp;$C37)-SUM(D$7:D36)</f>
        <v>0</v>
      </c>
      <c r="E37">
        <f>COUNTIF(S_x!$A$1:$JV$432,"&gt;"&amp;$C37*-1)-SUM(E$7:E36)</f>
        <v>0</v>
      </c>
      <c r="F37">
        <f>COUNTIF(E_y!$A$1:$JV$432,"&lt;"&amp;$C37)-SUM(F$7:F36)</f>
        <v>0</v>
      </c>
      <c r="G37">
        <f>COUNTIF(W_y!$A$1:$JV$432,"&gt;"&amp;$C37*-1)-SUM(G$7:G36)</f>
        <v>0</v>
      </c>
    </row>
    <row r="38" spans="1:7" x14ac:dyDescent="0.15">
      <c r="A38" t="str">
        <f t="shared" si="1"/>
        <v>0.58-0.6</v>
      </c>
      <c r="B38">
        <f t="shared" si="2"/>
        <v>0.58000000000000018</v>
      </c>
      <c r="C38">
        <f t="shared" si="0"/>
        <v>0.6000000000000002</v>
      </c>
      <c r="D38">
        <f>COUNTIF(N_x!$A$1:$JV$432,"&lt;"&amp;$C38)-SUM(D$7:D37)</f>
        <v>0</v>
      </c>
      <c r="E38">
        <f>COUNTIF(S_x!$A$1:$JV$432,"&gt;"&amp;$C38*-1)-SUM(E$7:E37)</f>
        <v>0</v>
      </c>
      <c r="F38">
        <f>COUNTIF(E_y!$A$1:$JV$432,"&lt;"&amp;$C38)-SUM(F$7:F37)</f>
        <v>0</v>
      </c>
      <c r="G38">
        <f>COUNTIF(W_y!$A$1:$JV$432,"&gt;"&amp;$C38*-1)-SUM(G$7:G37)</f>
        <v>0</v>
      </c>
    </row>
    <row r="39" spans="1:7" x14ac:dyDescent="0.15">
      <c r="A39" t="str">
        <f t="shared" si="1"/>
        <v>0.6-0.62</v>
      </c>
      <c r="B39">
        <f t="shared" si="2"/>
        <v>0.6000000000000002</v>
      </c>
      <c r="C39">
        <f t="shared" si="0"/>
        <v>0.62000000000000022</v>
      </c>
      <c r="D39">
        <f>COUNTIF(N_x!$A$1:$JV$432,"&lt;"&amp;$C39)-SUM(D$7:D38)</f>
        <v>0</v>
      </c>
      <c r="E39">
        <f>COUNTIF(S_x!$A$1:$JV$432,"&gt;"&amp;$C39*-1)-SUM(E$7:E38)</f>
        <v>0</v>
      </c>
      <c r="F39">
        <f>COUNTIF(E_y!$A$1:$JV$432,"&lt;"&amp;$C39)-SUM(F$7:F38)</f>
        <v>0</v>
      </c>
      <c r="G39">
        <f>COUNTIF(W_y!$A$1:$JV$432,"&gt;"&amp;$C39*-1)-SUM(G$7:G38)</f>
        <v>0</v>
      </c>
    </row>
    <row r="40" spans="1:7" x14ac:dyDescent="0.15">
      <c r="A40" t="str">
        <f t="shared" si="1"/>
        <v>0.62-0.64</v>
      </c>
      <c r="B40">
        <f t="shared" si="2"/>
        <v>0.62000000000000022</v>
      </c>
      <c r="C40">
        <f t="shared" si="0"/>
        <v>0.64000000000000024</v>
      </c>
      <c r="D40">
        <f>COUNTIF(N_x!$A$1:$JV$432,"&lt;"&amp;$C40)-SUM(D$7:D39)</f>
        <v>0</v>
      </c>
      <c r="E40">
        <f>COUNTIF(S_x!$A$1:$JV$432,"&gt;"&amp;$C40*-1)-SUM(E$7:E39)</f>
        <v>0</v>
      </c>
      <c r="F40">
        <f>COUNTIF(E_y!$A$1:$JV$432,"&lt;"&amp;$C40)-SUM(F$7:F39)</f>
        <v>0</v>
      </c>
      <c r="G40">
        <f>COUNTIF(W_y!$A$1:$JV$432,"&gt;"&amp;$C40*-1)-SUM(G$7:G39)</f>
        <v>0</v>
      </c>
    </row>
    <row r="41" spans="1:7" x14ac:dyDescent="0.15">
      <c r="A41" t="str">
        <f t="shared" si="1"/>
        <v>0.64-0.66</v>
      </c>
      <c r="B41">
        <f t="shared" si="2"/>
        <v>0.64000000000000024</v>
      </c>
      <c r="C41">
        <f t="shared" si="0"/>
        <v>0.66000000000000025</v>
      </c>
      <c r="D41">
        <f>COUNTIF(N_x!$A$1:$JV$432,"&lt;"&amp;$C41)-SUM(D$7:D40)</f>
        <v>0</v>
      </c>
      <c r="E41">
        <f>COUNTIF(S_x!$A$1:$JV$432,"&gt;"&amp;$C41*-1)-SUM(E$7:E40)</f>
        <v>0</v>
      </c>
      <c r="F41">
        <f>COUNTIF(E_y!$A$1:$JV$432,"&lt;"&amp;$C41)-SUM(F$7:F40)</f>
        <v>0</v>
      </c>
      <c r="G41">
        <f>COUNTIF(W_y!$A$1:$JV$432,"&gt;"&amp;$C41*-1)-SUM(G$7:G40)</f>
        <v>0</v>
      </c>
    </row>
    <row r="42" spans="1:7" x14ac:dyDescent="0.15">
      <c r="A42" t="str">
        <f t="shared" si="1"/>
        <v>0.66-0.68</v>
      </c>
      <c r="B42">
        <f t="shared" si="2"/>
        <v>0.66000000000000025</v>
      </c>
      <c r="C42">
        <f t="shared" si="0"/>
        <v>0.68000000000000027</v>
      </c>
      <c r="D42">
        <f>COUNTIF(N_x!$A$1:$JV$432,"&lt;"&amp;$C42)-SUM(D$7:D41)</f>
        <v>0</v>
      </c>
      <c r="E42">
        <f>COUNTIF(S_x!$A$1:$JV$432,"&gt;"&amp;$C42*-1)-SUM(E$7:E41)</f>
        <v>0</v>
      </c>
      <c r="F42">
        <f>COUNTIF(E_y!$A$1:$JV$432,"&lt;"&amp;$C42)-SUM(F$7:F41)</f>
        <v>0</v>
      </c>
      <c r="G42">
        <f>COUNTIF(W_y!$A$1:$JV$432,"&gt;"&amp;$C42*-1)-SUM(G$7:G41)</f>
        <v>0</v>
      </c>
    </row>
    <row r="43" spans="1:7" x14ac:dyDescent="0.15">
      <c r="A43" t="str">
        <f t="shared" si="1"/>
        <v>0.68-0.7</v>
      </c>
      <c r="B43">
        <f t="shared" si="2"/>
        <v>0.68000000000000027</v>
      </c>
      <c r="C43">
        <f t="shared" si="0"/>
        <v>0.70000000000000029</v>
      </c>
      <c r="D43">
        <f>COUNTIF(N_x!$A$1:$JV$432,"&lt;"&amp;$C43)-SUM(D$7:D42)</f>
        <v>0</v>
      </c>
      <c r="E43">
        <f>COUNTIF(S_x!$A$1:$JV$432,"&gt;"&amp;$C43*-1)-SUM(E$7:E42)</f>
        <v>0</v>
      </c>
      <c r="F43">
        <f>COUNTIF(E_y!$A$1:$JV$432,"&lt;"&amp;$C43)-SUM(F$7:F42)</f>
        <v>0</v>
      </c>
      <c r="G43">
        <f>COUNTIF(W_y!$A$1:$JV$432,"&gt;"&amp;$C43*-1)-SUM(G$7:G42)</f>
        <v>0</v>
      </c>
    </row>
    <row r="44" spans="1:7" x14ac:dyDescent="0.15">
      <c r="A44" t="str">
        <f t="shared" si="1"/>
        <v>0.7-0.72</v>
      </c>
      <c r="B44">
        <f t="shared" si="2"/>
        <v>0.70000000000000029</v>
      </c>
      <c r="C44">
        <f t="shared" si="0"/>
        <v>0.72000000000000031</v>
      </c>
      <c r="D44">
        <f>COUNTIF(N_x!$A$1:$JV$432,"&lt;"&amp;$C44)-SUM(D$7:D43)</f>
        <v>0</v>
      </c>
      <c r="E44">
        <f>COUNTIF(S_x!$A$1:$JV$432,"&gt;"&amp;$C44*-1)-SUM(E$7:E43)</f>
        <v>0</v>
      </c>
      <c r="F44">
        <f>COUNTIF(E_y!$A$1:$JV$432,"&lt;"&amp;$C44)-SUM(F$7:F43)</f>
        <v>0</v>
      </c>
      <c r="G44">
        <f>COUNTIF(W_y!$A$1:$JV$432,"&gt;"&amp;$C44*-1)-SUM(G$7:G43)</f>
        <v>0</v>
      </c>
    </row>
    <row r="45" spans="1:7" x14ac:dyDescent="0.15">
      <c r="A45" t="str">
        <f t="shared" si="1"/>
        <v>0.72-0.74</v>
      </c>
      <c r="B45">
        <f t="shared" si="2"/>
        <v>0.72000000000000031</v>
      </c>
      <c r="C45">
        <f t="shared" si="0"/>
        <v>0.74000000000000032</v>
      </c>
      <c r="D45">
        <f>COUNTIF(N_x!$A$1:$JV$432,"&lt;"&amp;$C45)-SUM(D$7:D44)</f>
        <v>0</v>
      </c>
      <c r="E45">
        <f>COUNTIF(S_x!$A$1:$JV$432,"&gt;"&amp;$C45*-1)-SUM(E$7:E44)</f>
        <v>0</v>
      </c>
      <c r="F45">
        <f>COUNTIF(E_y!$A$1:$JV$432,"&lt;"&amp;$C45)-SUM(F$7:F44)</f>
        <v>0</v>
      </c>
      <c r="G45">
        <f>COUNTIF(W_y!$A$1:$JV$432,"&gt;"&amp;$C45*-1)-SUM(G$7:G44)</f>
        <v>0</v>
      </c>
    </row>
    <row r="46" spans="1:7" x14ac:dyDescent="0.15">
      <c r="A46" t="str">
        <f t="shared" si="1"/>
        <v>0.74-0.76</v>
      </c>
      <c r="B46">
        <f t="shared" si="2"/>
        <v>0.74000000000000032</v>
      </c>
      <c r="C46">
        <f t="shared" si="0"/>
        <v>0.76000000000000034</v>
      </c>
      <c r="D46">
        <f>COUNTIF(N_x!$A$1:$JV$432,"&lt;"&amp;$C46)-SUM(D$7:D45)</f>
        <v>0</v>
      </c>
      <c r="E46">
        <f>COUNTIF(S_x!$A$1:$JV$432,"&gt;"&amp;$C46*-1)-SUM(E$7:E45)</f>
        <v>0</v>
      </c>
      <c r="F46">
        <f>COUNTIF(E_y!$A$1:$JV$432,"&lt;"&amp;$C46)-SUM(F$7:F45)</f>
        <v>0</v>
      </c>
      <c r="G46">
        <f>COUNTIF(W_y!$A$1:$JV$432,"&gt;"&amp;$C46*-1)-SUM(G$7:G45)</f>
        <v>0</v>
      </c>
    </row>
    <row r="47" spans="1:7" x14ac:dyDescent="0.15">
      <c r="A47" t="str">
        <f t="shared" si="1"/>
        <v>0.76-0.78</v>
      </c>
      <c r="B47">
        <f t="shared" si="2"/>
        <v>0.76000000000000034</v>
      </c>
      <c r="C47">
        <f t="shared" si="0"/>
        <v>0.78000000000000036</v>
      </c>
      <c r="D47">
        <f>COUNTIF(N_x!$A$1:$JV$432,"&lt;"&amp;$C47)-SUM(D$7:D46)</f>
        <v>0</v>
      </c>
      <c r="E47">
        <f>COUNTIF(S_x!$A$1:$JV$432,"&gt;"&amp;$C47*-1)-SUM(E$7:E46)</f>
        <v>0</v>
      </c>
      <c r="F47">
        <f>COUNTIF(E_y!$A$1:$JV$432,"&lt;"&amp;$C47)-SUM(F$7:F46)</f>
        <v>0</v>
      </c>
      <c r="G47">
        <f>COUNTIF(W_y!$A$1:$JV$432,"&gt;"&amp;$C47*-1)-SUM(G$7:G46)</f>
        <v>0</v>
      </c>
    </row>
    <row r="48" spans="1:7" x14ac:dyDescent="0.15">
      <c r="A48" t="str">
        <f t="shared" si="1"/>
        <v>0.78-0.8</v>
      </c>
      <c r="B48">
        <f t="shared" si="2"/>
        <v>0.78000000000000036</v>
      </c>
      <c r="C48">
        <f t="shared" si="0"/>
        <v>0.80000000000000038</v>
      </c>
      <c r="D48">
        <f>COUNTIF(N_x!$A$1:$JV$432,"&lt;"&amp;$C48)-SUM(D$7:D47)</f>
        <v>0</v>
      </c>
      <c r="E48">
        <f>COUNTIF(S_x!$A$1:$JV$432,"&gt;"&amp;$C48*-1)-SUM(E$7:E47)</f>
        <v>0</v>
      </c>
      <c r="F48">
        <f>COUNTIF(E_y!$A$1:$JV$432,"&lt;"&amp;$C48)-SUM(F$7:F47)</f>
        <v>0</v>
      </c>
      <c r="G48">
        <f>COUNTIF(W_y!$A$1:$JV$432,"&gt;"&amp;$C48*-1)-SUM(G$7:G47)</f>
        <v>0</v>
      </c>
    </row>
    <row r="49" spans="1:7" x14ac:dyDescent="0.15">
      <c r="A49" t="str">
        <f t="shared" si="1"/>
        <v>0.8-0.82</v>
      </c>
      <c r="B49">
        <f t="shared" si="2"/>
        <v>0.80000000000000038</v>
      </c>
      <c r="C49">
        <f t="shared" si="0"/>
        <v>0.8200000000000004</v>
      </c>
      <c r="D49">
        <f>COUNTIF(N_x!$A$1:$JV$432,"&lt;"&amp;$C49)-SUM(D$7:D48)</f>
        <v>0</v>
      </c>
      <c r="E49">
        <f>COUNTIF(S_x!$A$1:$JV$432,"&gt;"&amp;$C49*-1)-SUM(E$7:E48)</f>
        <v>0</v>
      </c>
      <c r="F49">
        <f>COUNTIF(E_y!$A$1:$JV$432,"&lt;"&amp;$C49)-SUM(F$7:F48)</f>
        <v>0</v>
      </c>
      <c r="G49">
        <f>COUNTIF(W_y!$A$1:$JV$432,"&gt;"&amp;$C49*-1)-SUM(G$7:G48)</f>
        <v>0</v>
      </c>
    </row>
    <row r="50" spans="1:7" x14ac:dyDescent="0.15">
      <c r="A50" t="str">
        <f t="shared" si="1"/>
        <v>0.82-0.84</v>
      </c>
      <c r="B50">
        <f t="shared" si="2"/>
        <v>0.8200000000000004</v>
      </c>
      <c r="C50">
        <f t="shared" si="0"/>
        <v>0.84000000000000041</v>
      </c>
      <c r="D50">
        <f>COUNTIF(N_x!$A$1:$JV$432,"&lt;"&amp;$C50)-SUM(D$7:D49)</f>
        <v>0</v>
      </c>
      <c r="E50">
        <f>COUNTIF(S_x!$A$1:$JV$432,"&gt;"&amp;$C50*-1)-SUM(E$7:E49)</f>
        <v>0</v>
      </c>
      <c r="F50">
        <f>COUNTIF(E_y!$A$1:$JV$432,"&lt;"&amp;$C50)-SUM(F$7:F49)</f>
        <v>0</v>
      </c>
      <c r="G50">
        <f>COUNTIF(W_y!$A$1:$JV$432,"&gt;"&amp;$C50*-1)-SUM(G$7:G49)</f>
        <v>0</v>
      </c>
    </row>
    <row r="51" spans="1:7" x14ac:dyDescent="0.15">
      <c r="A51" t="str">
        <f t="shared" si="1"/>
        <v>0.84-0.86</v>
      </c>
      <c r="B51">
        <f t="shared" si="2"/>
        <v>0.84000000000000041</v>
      </c>
      <c r="C51">
        <f t="shared" si="0"/>
        <v>0.86000000000000043</v>
      </c>
      <c r="D51">
        <f>COUNTIF(N_x!$A$1:$JV$432,"&lt;"&amp;$C51)-SUM(D$7:D50)</f>
        <v>0</v>
      </c>
      <c r="E51">
        <f>COUNTIF(S_x!$A$1:$JV$432,"&gt;"&amp;$C51*-1)-SUM(E$7:E50)</f>
        <v>0</v>
      </c>
      <c r="F51">
        <f>COUNTIF(E_y!$A$1:$JV$432,"&lt;"&amp;$C51)-SUM(F$7:F50)</f>
        <v>0</v>
      </c>
      <c r="G51">
        <f>COUNTIF(W_y!$A$1:$JV$432,"&gt;"&amp;$C51*-1)-SUM(G$7:G50)</f>
        <v>0</v>
      </c>
    </row>
    <row r="52" spans="1:7" x14ac:dyDescent="0.15">
      <c r="A52" t="str">
        <f t="shared" si="1"/>
        <v>0.86-0.88</v>
      </c>
      <c r="B52">
        <f t="shared" si="2"/>
        <v>0.86000000000000043</v>
      </c>
      <c r="C52">
        <f t="shared" si="0"/>
        <v>0.88000000000000045</v>
      </c>
      <c r="D52">
        <f>COUNTIF(N_x!$A$1:$JV$432,"&lt;"&amp;$C52)-SUM(D$7:D51)</f>
        <v>0</v>
      </c>
      <c r="E52">
        <f>COUNTIF(S_x!$A$1:$JV$432,"&gt;"&amp;$C52*-1)-SUM(E$7:E51)</f>
        <v>0</v>
      </c>
      <c r="F52">
        <f>COUNTIF(E_y!$A$1:$JV$432,"&lt;"&amp;$C52)-SUM(F$7:F51)</f>
        <v>0</v>
      </c>
      <c r="G52">
        <f>COUNTIF(W_y!$A$1:$JV$432,"&gt;"&amp;$C52*-1)-SUM(G$7:G51)</f>
        <v>0</v>
      </c>
    </row>
    <row r="53" spans="1:7" x14ac:dyDescent="0.15">
      <c r="A53" t="str">
        <f t="shared" si="1"/>
        <v>0.88-0.9</v>
      </c>
      <c r="B53">
        <f t="shared" si="2"/>
        <v>0.88000000000000045</v>
      </c>
      <c r="C53">
        <f t="shared" si="0"/>
        <v>0.90000000000000047</v>
      </c>
      <c r="D53">
        <f>COUNTIF(N_x!$A$1:$JV$432,"&lt;"&amp;$C53)-SUM(D$7:D52)</f>
        <v>0</v>
      </c>
      <c r="E53">
        <f>COUNTIF(S_x!$A$1:$JV$432,"&gt;"&amp;$C53*-1)-SUM(E$7:E52)</f>
        <v>0</v>
      </c>
      <c r="F53">
        <f>COUNTIF(E_y!$A$1:$JV$432,"&lt;"&amp;$C53)-SUM(F$7:F52)</f>
        <v>0</v>
      </c>
      <c r="G53">
        <f>COUNTIF(W_y!$A$1:$JV$432,"&gt;"&amp;$C53*-1)-SUM(G$7:G52)</f>
        <v>0</v>
      </c>
    </row>
    <row r="54" spans="1:7" x14ac:dyDescent="0.15">
      <c r="A54" t="str">
        <f t="shared" si="1"/>
        <v>0.9-0.92</v>
      </c>
      <c r="B54">
        <f t="shared" si="2"/>
        <v>0.90000000000000047</v>
      </c>
      <c r="C54">
        <f t="shared" si="0"/>
        <v>0.92000000000000048</v>
      </c>
      <c r="D54">
        <f>COUNTIF(N_x!$A$1:$JV$432,"&lt;"&amp;$C54)-SUM(D$7:D53)</f>
        <v>0</v>
      </c>
      <c r="E54">
        <f>COUNTIF(S_x!$A$1:$JV$432,"&gt;"&amp;$C54*-1)-SUM(E$7:E53)</f>
        <v>0</v>
      </c>
      <c r="F54">
        <f>COUNTIF(E_y!$A$1:$JV$432,"&lt;"&amp;$C54)-SUM(F$7:F53)</f>
        <v>0</v>
      </c>
      <c r="G54">
        <f>COUNTIF(W_y!$A$1:$JV$432,"&gt;"&amp;$C54*-1)-SUM(G$7:G53)</f>
        <v>0</v>
      </c>
    </row>
    <row r="55" spans="1:7" x14ac:dyDescent="0.15">
      <c r="A55" t="str">
        <f t="shared" si="1"/>
        <v>0.92-0.940000000000001</v>
      </c>
      <c r="B55">
        <f>C54</f>
        <v>0.92000000000000048</v>
      </c>
      <c r="C55">
        <f t="shared" si="0"/>
        <v>0.9400000000000005</v>
      </c>
      <c r="D55">
        <f>COUNTIF(N_x!$A$1:$JV$432,"&lt;"&amp;$C55)-SUM(D$7:D54)</f>
        <v>0</v>
      </c>
      <c r="E55">
        <f>COUNTIF(S_x!$A$1:$JV$432,"&gt;"&amp;$C55*-1)-SUM(E$7:E54)</f>
        <v>0</v>
      </c>
      <c r="F55">
        <f>COUNTIF(E_y!$A$1:$JV$432,"&lt;"&amp;$C55)-SUM(F$7:F54)</f>
        <v>0</v>
      </c>
      <c r="G55">
        <f>COUNTIF(W_y!$A$1:$JV$432,"&gt;"&amp;$C55*-1)-SUM(G$7:G54)</f>
        <v>0</v>
      </c>
    </row>
    <row r="56" spans="1:7" x14ac:dyDescent="0.15">
      <c r="A56" t="str">
        <f t="shared" si="1"/>
        <v>0.940000000000001-0.960000000000001</v>
      </c>
      <c r="B56">
        <f>C55</f>
        <v>0.9400000000000005</v>
      </c>
      <c r="C56">
        <f t="shared" si="0"/>
        <v>0.96000000000000052</v>
      </c>
      <c r="D56">
        <f>COUNTIF(N_x!$A$1:$JV$432,"&lt;"&amp;$C56)-SUM(D$7:D55)</f>
        <v>0</v>
      </c>
      <c r="E56">
        <f>COUNTIF(S_x!$A$1:$JV$432,"&gt;"&amp;$C56*-1)-SUM(E$7:E55)</f>
        <v>0</v>
      </c>
      <c r="F56">
        <f>COUNTIF(E_y!$A$1:$JV$432,"&lt;"&amp;$C56)-SUM(F$7:F55)</f>
        <v>0</v>
      </c>
      <c r="G56">
        <f>COUNTIF(W_y!$A$1:$JV$432,"&gt;"&amp;$C56*-1)-SUM(G$7:G55)</f>
        <v>0</v>
      </c>
    </row>
    <row r="57" spans="1:7" x14ac:dyDescent="0.15">
      <c r="A57" t="str">
        <f t="shared" si="1"/>
        <v>0.960000000000001-0.980000000000001</v>
      </c>
      <c r="B57">
        <f t="shared" si="2"/>
        <v>0.96000000000000052</v>
      </c>
      <c r="C57">
        <f t="shared" si="0"/>
        <v>0.98000000000000054</v>
      </c>
      <c r="D57">
        <f>COUNTIF(N_x!$A$1:$JV$432,"&lt;"&amp;$C57)-SUM(D$7:D56)</f>
        <v>0</v>
      </c>
      <c r="E57">
        <f>COUNTIF(S_x!$A$1:$JV$432,"&gt;"&amp;$C57*-1)-SUM(E$7:E56)</f>
        <v>0</v>
      </c>
      <c r="F57">
        <f>COUNTIF(E_y!$A$1:$JV$432,"&lt;"&amp;$C57)-SUM(F$7:F56)</f>
        <v>0</v>
      </c>
      <c r="G57">
        <f>COUNTIF(W_y!$A$1:$JV$432,"&gt;"&amp;$C57*-1)-SUM(G$7:G56)</f>
        <v>0</v>
      </c>
    </row>
    <row r="58" spans="1:7" x14ac:dyDescent="0.15">
      <c r="A58" t="str">
        <f t="shared" si="1"/>
        <v>0.980000000000001-1</v>
      </c>
      <c r="B58">
        <f t="shared" si="2"/>
        <v>0.98000000000000054</v>
      </c>
      <c r="C58">
        <f t="shared" si="0"/>
        <v>1.0000000000000004</v>
      </c>
      <c r="D58">
        <f>COUNTIF(N_x!$A$1:$JV$432,"&lt;"&amp;$C58)-SUM(D$7:D57)</f>
        <v>0</v>
      </c>
      <c r="E58">
        <f>COUNTIF(S_x!$A$1:$JV$432,"&gt;"&amp;$C58*-1)-SUM(E$7:E57)</f>
        <v>0</v>
      </c>
      <c r="F58">
        <f>COUNTIF(E_y!$A$1:$JV$432,"&lt;"&amp;$C58)-SUM(F$7:F57)</f>
        <v>0</v>
      </c>
      <c r="G58">
        <f>COUNTIF(W_y!$A$1:$JV$432,"&gt;"&amp;$C58*-1)-SUM(G$7:G57)</f>
        <v>0</v>
      </c>
    </row>
    <row r="59" spans="1:7" x14ac:dyDescent="0.15">
      <c r="A59" t="str">
        <f t="shared" si="1"/>
        <v>1-1.02</v>
      </c>
      <c r="B59">
        <f t="shared" si="2"/>
        <v>1.0000000000000004</v>
      </c>
      <c r="C59">
        <f t="shared" si="0"/>
        <v>1.0200000000000005</v>
      </c>
      <c r="D59">
        <f>COUNTIF(N_x!$A$1:$JV$432,"&lt;"&amp;$C59)-SUM(D$7:D58)</f>
        <v>0</v>
      </c>
      <c r="E59">
        <f>COUNTIF(S_x!$A$1:$JV$432,"&gt;"&amp;$C59*-1)-SUM(E$7:E58)</f>
        <v>0</v>
      </c>
      <c r="F59">
        <f>COUNTIF(E_y!$A$1:$JV$432,"&lt;"&amp;$C59)-SUM(F$7:F58)</f>
        <v>0</v>
      </c>
      <c r="G59">
        <f>COUNTIF(W_y!$A$1:$JV$432,"&gt;"&amp;$C59*-1)-SUM(G$7:G58)</f>
        <v>0</v>
      </c>
    </row>
    <row r="60" spans="1:7" x14ac:dyDescent="0.15">
      <c r="A60" t="str">
        <f t="shared" si="1"/>
        <v>1.02-1.04</v>
      </c>
      <c r="B60">
        <f t="shared" si="2"/>
        <v>1.0200000000000005</v>
      </c>
      <c r="C60">
        <f t="shared" si="0"/>
        <v>1.0400000000000005</v>
      </c>
      <c r="D60">
        <f>COUNTIF(N_x!$A$1:$JV$432,"&lt;"&amp;$C60)-SUM(D$7:D59)</f>
        <v>0</v>
      </c>
      <c r="E60">
        <f>COUNTIF(S_x!$A$1:$JV$432,"&gt;"&amp;$C60*-1)-SUM(E$7:E59)</f>
        <v>0</v>
      </c>
      <c r="F60">
        <f>COUNTIF(E_y!$A$1:$JV$432,"&lt;"&amp;$C60)-SUM(F$7:F59)</f>
        <v>0</v>
      </c>
      <c r="G60">
        <f>COUNTIF(W_y!$A$1:$JV$432,"&gt;"&amp;$C60*-1)-SUM(G$7:G59)</f>
        <v>0</v>
      </c>
    </row>
    <row r="61" spans="1:7" x14ac:dyDescent="0.15">
      <c r="A61" t="str">
        <f t="shared" si="1"/>
        <v>1.04-1.06</v>
      </c>
      <c r="B61">
        <f t="shared" si="2"/>
        <v>1.0400000000000005</v>
      </c>
      <c r="C61">
        <f t="shared" si="0"/>
        <v>1.0600000000000005</v>
      </c>
      <c r="D61">
        <f>COUNTIF(N_x!$A$1:$JV$432,"&lt;"&amp;$C61)-SUM(D$7:D60)</f>
        <v>0</v>
      </c>
      <c r="E61">
        <f>COUNTIF(S_x!$A$1:$JV$432,"&gt;"&amp;$C61*-1)-SUM(E$7:E60)</f>
        <v>0</v>
      </c>
      <c r="F61">
        <f>COUNTIF(E_y!$A$1:$JV$432,"&lt;"&amp;$C61)-SUM(F$7:F60)</f>
        <v>0</v>
      </c>
      <c r="G61">
        <f>COUNTIF(W_y!$A$1:$JV$432,"&gt;"&amp;$C61*-1)-SUM(G$7:G60)</f>
        <v>0</v>
      </c>
    </row>
    <row r="62" spans="1:7" x14ac:dyDescent="0.15">
      <c r="A62" t="str">
        <f t="shared" si="1"/>
        <v>1.06-1.08</v>
      </c>
      <c r="B62">
        <f t="shared" si="2"/>
        <v>1.0600000000000005</v>
      </c>
      <c r="C62">
        <f t="shared" si="0"/>
        <v>1.0800000000000005</v>
      </c>
      <c r="D62">
        <f>COUNTIF(N_x!$A$1:$JV$432,"&lt;"&amp;$C62)-SUM(D$7:D61)</f>
        <v>0</v>
      </c>
      <c r="E62">
        <f>COUNTIF(S_x!$A$1:$JV$432,"&gt;"&amp;$C62*-1)-SUM(E$7:E61)</f>
        <v>0</v>
      </c>
      <c r="F62">
        <f>COUNTIF(E_y!$A$1:$JV$432,"&lt;"&amp;$C62)-SUM(F$7:F61)</f>
        <v>0</v>
      </c>
      <c r="G62">
        <f>COUNTIF(W_y!$A$1:$JV$432,"&gt;"&amp;$C62*-1)-SUM(G$7:G61)</f>
        <v>0</v>
      </c>
    </row>
    <row r="63" spans="1:7" x14ac:dyDescent="0.15">
      <c r="A63" t="str">
        <f t="shared" si="1"/>
        <v>1.08-1.1</v>
      </c>
      <c r="B63">
        <f t="shared" si="2"/>
        <v>1.0800000000000005</v>
      </c>
      <c r="C63">
        <f t="shared" si="0"/>
        <v>1.1000000000000005</v>
      </c>
      <c r="D63">
        <f>COUNTIF(N_x!$A$1:$JV$432,"&lt;"&amp;$C63)-SUM(D$7:D62)</f>
        <v>0</v>
      </c>
      <c r="E63">
        <f>COUNTIF(S_x!$A$1:$JV$432,"&gt;"&amp;$C63*-1)-SUM(E$7:E62)</f>
        <v>0</v>
      </c>
      <c r="F63">
        <f>COUNTIF(E_y!$A$1:$JV$432,"&lt;"&amp;$C63)-SUM(F$7:F62)</f>
        <v>0</v>
      </c>
      <c r="G63">
        <f>COUNTIF(W_y!$A$1:$JV$432,"&gt;"&amp;$C63*-1)-SUM(G$7:G62)</f>
        <v>0</v>
      </c>
    </row>
    <row r="64" spans="1:7" x14ac:dyDescent="0.15">
      <c r="A64" t="str">
        <f t="shared" si="1"/>
        <v>1.1-1.12</v>
      </c>
      <c r="B64">
        <f t="shared" si="2"/>
        <v>1.1000000000000005</v>
      </c>
      <c r="C64">
        <f t="shared" si="0"/>
        <v>1.1200000000000006</v>
      </c>
      <c r="D64">
        <f>COUNTIF(N_x!$A$1:$JV$432,"&lt;"&amp;$C64)-SUM(D$7:D63)</f>
        <v>0</v>
      </c>
      <c r="E64">
        <f>COUNTIF(S_x!$A$1:$JV$432,"&gt;"&amp;$C64*-1)-SUM(E$7:E63)</f>
        <v>0</v>
      </c>
      <c r="F64">
        <f>COUNTIF(E_y!$A$1:$JV$432,"&lt;"&amp;$C64)-SUM(F$7:F63)</f>
        <v>0</v>
      </c>
      <c r="G64">
        <f>COUNTIF(W_y!$A$1:$JV$432,"&gt;"&amp;$C64*-1)-SUM(G$7:G63)</f>
        <v>0</v>
      </c>
    </row>
    <row r="65" spans="1:7" x14ac:dyDescent="0.15">
      <c r="A65" t="str">
        <f t="shared" si="1"/>
        <v>1.12-1.14</v>
      </c>
      <c r="B65">
        <f t="shared" si="2"/>
        <v>1.1200000000000006</v>
      </c>
      <c r="C65">
        <f t="shared" si="0"/>
        <v>1.1400000000000006</v>
      </c>
      <c r="D65">
        <f>COUNTIF(N_x!$A$1:$JV$432,"&lt;"&amp;$C65)-SUM(D$7:D64)</f>
        <v>0</v>
      </c>
      <c r="E65">
        <f>COUNTIF(S_x!$A$1:$JV$432,"&gt;"&amp;$C65*-1)-SUM(E$7:E64)</f>
        <v>0</v>
      </c>
      <c r="F65">
        <f>COUNTIF(E_y!$A$1:$JV$432,"&lt;"&amp;$C65)-SUM(F$7:F64)</f>
        <v>0</v>
      </c>
      <c r="G65">
        <f>COUNTIF(W_y!$A$1:$JV$432,"&gt;"&amp;$C65*-1)-SUM(G$7:G64)</f>
        <v>0</v>
      </c>
    </row>
    <row r="66" spans="1:7" x14ac:dyDescent="0.15">
      <c r="A66" t="str">
        <f t="shared" si="1"/>
        <v>1.14-1.16</v>
      </c>
      <c r="B66">
        <f t="shared" si="2"/>
        <v>1.1400000000000006</v>
      </c>
      <c r="C66">
        <f t="shared" si="0"/>
        <v>1.1600000000000006</v>
      </c>
      <c r="D66">
        <f>COUNTIF(N_x!$A$1:$JV$432,"&lt;"&amp;$C66)-SUM(D$7:D65)</f>
        <v>0</v>
      </c>
      <c r="E66">
        <f>COUNTIF(S_x!$A$1:$JV$432,"&gt;"&amp;$C66*-1)-SUM(E$7:E65)</f>
        <v>0</v>
      </c>
      <c r="F66">
        <f>COUNTIF(E_y!$A$1:$JV$432,"&lt;"&amp;$C66)-SUM(F$7:F65)</f>
        <v>0</v>
      </c>
      <c r="G66">
        <f>COUNTIF(W_y!$A$1:$JV$432,"&gt;"&amp;$C66*-1)-SUM(G$7:G65)</f>
        <v>0</v>
      </c>
    </row>
    <row r="67" spans="1:7" x14ac:dyDescent="0.15">
      <c r="A67" t="str">
        <f t="shared" si="1"/>
        <v>1.16-1.18</v>
      </c>
      <c r="B67">
        <f t="shared" si="2"/>
        <v>1.1600000000000006</v>
      </c>
      <c r="C67">
        <f t="shared" si="0"/>
        <v>1.1800000000000006</v>
      </c>
      <c r="D67">
        <f>COUNTIF(N_x!$A$1:$JV$432,"&lt;"&amp;$C67)-SUM(D$7:D66)</f>
        <v>0</v>
      </c>
      <c r="E67">
        <f>COUNTIF(S_x!$A$1:$JV$432,"&gt;"&amp;$C67*-1)-SUM(E$7:E66)</f>
        <v>0</v>
      </c>
      <c r="F67">
        <f>COUNTIF(E_y!$A$1:$JV$432,"&lt;"&amp;$C67)-SUM(F$7:F66)</f>
        <v>0</v>
      </c>
      <c r="G67">
        <f>COUNTIF(W_y!$A$1:$JV$432,"&gt;"&amp;$C67*-1)-SUM(G$7:G66)</f>
        <v>0</v>
      </c>
    </row>
    <row r="68" spans="1:7" x14ac:dyDescent="0.15">
      <c r="A68" t="str">
        <f t="shared" si="1"/>
        <v>1.18-1.2</v>
      </c>
      <c r="B68">
        <f t="shared" si="2"/>
        <v>1.1800000000000006</v>
      </c>
      <c r="C68">
        <f t="shared" si="0"/>
        <v>1.2000000000000006</v>
      </c>
      <c r="D68">
        <f>COUNTIF(N_x!$A$1:$JV$432,"&lt;"&amp;$C68)-SUM(D$7:D67)</f>
        <v>0</v>
      </c>
      <c r="E68">
        <f>COUNTIF(S_x!$A$1:$JV$432,"&gt;"&amp;$C68*-1)-SUM(E$7:E67)</f>
        <v>0</v>
      </c>
      <c r="F68">
        <f>COUNTIF(E_y!$A$1:$JV$432,"&lt;"&amp;$C68)-SUM(F$7:F67)</f>
        <v>0</v>
      </c>
      <c r="G68">
        <f>COUNTIF(W_y!$A$1:$JV$432,"&gt;"&amp;$C68*-1)-SUM(G$7:G67)</f>
        <v>0</v>
      </c>
    </row>
    <row r="69" spans="1:7" x14ac:dyDescent="0.15">
      <c r="A69" t="str">
        <f t="shared" si="1"/>
        <v>1.2-1.22</v>
      </c>
      <c r="B69">
        <f t="shared" si="2"/>
        <v>1.2000000000000006</v>
      </c>
      <c r="C69">
        <f t="shared" si="0"/>
        <v>1.2200000000000006</v>
      </c>
      <c r="D69">
        <f>COUNTIF(N_x!$A$1:$JV$432,"&lt;"&amp;$C69)-SUM(D$7:D68)</f>
        <v>0</v>
      </c>
      <c r="E69">
        <f>COUNTIF(S_x!$A$1:$JV$432,"&gt;"&amp;$C69*-1)-SUM(E$7:E68)</f>
        <v>0</v>
      </c>
      <c r="F69">
        <f>COUNTIF(E_y!$A$1:$JV$432,"&lt;"&amp;$C69)-SUM(F$7:F68)</f>
        <v>0</v>
      </c>
      <c r="G69">
        <f>COUNTIF(W_y!$A$1:$JV$432,"&gt;"&amp;$C69*-1)-SUM(G$7:G68)</f>
        <v>0</v>
      </c>
    </row>
    <row r="70" spans="1:7" x14ac:dyDescent="0.15">
      <c r="A70" t="str">
        <f t="shared" si="1"/>
        <v>1.22-1.24</v>
      </c>
      <c r="B70">
        <f t="shared" si="2"/>
        <v>1.2200000000000006</v>
      </c>
      <c r="C70">
        <f t="shared" si="0"/>
        <v>1.2400000000000007</v>
      </c>
      <c r="D70">
        <f>COUNTIF(N_x!$A$1:$JV$432,"&lt;"&amp;$C70)-SUM(D$7:D69)</f>
        <v>0</v>
      </c>
      <c r="E70">
        <f>COUNTIF(S_x!$A$1:$JV$432,"&gt;"&amp;$C70*-1)-SUM(E$7:E69)</f>
        <v>0</v>
      </c>
      <c r="F70">
        <f>COUNTIF(E_y!$A$1:$JV$432,"&lt;"&amp;$C70)-SUM(F$7:F69)</f>
        <v>0</v>
      </c>
      <c r="G70">
        <f>COUNTIF(W_y!$A$1:$JV$432,"&gt;"&amp;$C70*-1)-SUM(G$7:G69)</f>
        <v>0</v>
      </c>
    </row>
    <row r="71" spans="1:7" x14ac:dyDescent="0.15">
      <c r="A71" t="str">
        <f t="shared" si="1"/>
        <v>1.24-1.26</v>
      </c>
      <c r="B71">
        <f t="shared" si="2"/>
        <v>1.2400000000000007</v>
      </c>
      <c r="C71">
        <f t="shared" si="0"/>
        <v>1.2600000000000007</v>
      </c>
      <c r="D71">
        <f>COUNTIF(N_x!$A$1:$JV$432,"&lt;"&amp;$C71)-SUM(D$7:D70)</f>
        <v>0</v>
      </c>
      <c r="E71">
        <f>COUNTIF(S_x!$A$1:$JV$432,"&gt;"&amp;$C71*-1)-SUM(E$7:E70)</f>
        <v>0</v>
      </c>
      <c r="F71">
        <f>COUNTIF(E_y!$A$1:$JV$432,"&lt;"&amp;$C71)-SUM(F$7:F70)</f>
        <v>0</v>
      </c>
      <c r="G71">
        <f>COUNTIF(W_y!$A$1:$JV$432,"&gt;"&amp;$C71*-1)-SUM(G$7:G70)</f>
        <v>0</v>
      </c>
    </row>
    <row r="72" spans="1:7" x14ac:dyDescent="0.15">
      <c r="A72" t="str">
        <f t="shared" si="1"/>
        <v>1.26-1.28</v>
      </c>
      <c r="B72">
        <f t="shared" si="2"/>
        <v>1.2600000000000007</v>
      </c>
      <c r="C72">
        <f t="shared" si="0"/>
        <v>1.2800000000000007</v>
      </c>
      <c r="D72">
        <f>COUNTIF(N_x!$A$1:$JV$432,"&lt;"&amp;$C72)-SUM(D$7:D71)</f>
        <v>0</v>
      </c>
      <c r="E72">
        <f>COUNTIF(S_x!$A$1:$JV$432,"&gt;"&amp;$C72*-1)-SUM(E$7:E71)</f>
        <v>0</v>
      </c>
      <c r="F72">
        <f>COUNTIF(E_y!$A$1:$JV$432,"&lt;"&amp;$C72)-SUM(F$7:F71)</f>
        <v>0</v>
      </c>
      <c r="G72">
        <f>COUNTIF(W_y!$A$1:$JV$432,"&gt;"&amp;$C72*-1)-SUM(G$7:G71)</f>
        <v>0</v>
      </c>
    </row>
    <row r="73" spans="1:7" x14ac:dyDescent="0.15">
      <c r="A73" t="str">
        <f t="shared" si="1"/>
        <v>1.28-1.3</v>
      </c>
      <c r="B73">
        <f t="shared" si="2"/>
        <v>1.2800000000000007</v>
      </c>
      <c r="C73">
        <f t="shared" ref="C73:C136" si="3">B73+$A$5</f>
        <v>1.3000000000000007</v>
      </c>
      <c r="D73">
        <f>COUNTIF(N_x!$A$1:$JV$432,"&lt;"&amp;$C73)-SUM(D$7:D72)</f>
        <v>0</v>
      </c>
      <c r="E73">
        <f>COUNTIF(S_x!$A$1:$JV$432,"&gt;"&amp;$C73*-1)-SUM(E$7:E72)</f>
        <v>0</v>
      </c>
      <c r="F73">
        <f>COUNTIF(E_y!$A$1:$JV$432,"&lt;"&amp;$C73)-SUM(F$7:F72)</f>
        <v>0</v>
      </c>
      <c r="G73">
        <f>COUNTIF(W_y!$A$1:$JV$432,"&gt;"&amp;$C73*-1)-SUM(G$7:G72)</f>
        <v>0</v>
      </c>
    </row>
    <row r="74" spans="1:7" x14ac:dyDescent="0.15">
      <c r="A74" t="str">
        <f t="shared" ref="A74:A137" si="4">B74&amp;"-"&amp;C74</f>
        <v>1.3-1.32</v>
      </c>
      <c r="B74">
        <f t="shared" ref="B74:B137" si="5">C73</f>
        <v>1.3000000000000007</v>
      </c>
      <c r="C74">
        <f t="shared" si="3"/>
        <v>1.3200000000000007</v>
      </c>
      <c r="D74">
        <f>COUNTIF(N_x!$A$1:$JV$432,"&lt;"&amp;$C74)-SUM(D$7:D73)</f>
        <v>0</v>
      </c>
      <c r="E74">
        <f>COUNTIF(S_x!$A$1:$JV$432,"&gt;"&amp;$C74*-1)-SUM(E$7:E73)</f>
        <v>0</v>
      </c>
      <c r="F74">
        <f>COUNTIF(E_y!$A$1:$JV$432,"&lt;"&amp;$C74)-SUM(F$7:F73)</f>
        <v>0</v>
      </c>
      <c r="G74">
        <f>COUNTIF(W_y!$A$1:$JV$432,"&gt;"&amp;$C74*-1)-SUM(G$7:G73)</f>
        <v>0</v>
      </c>
    </row>
    <row r="75" spans="1:7" x14ac:dyDescent="0.15">
      <c r="A75" t="str">
        <f t="shared" si="4"/>
        <v>1.32-1.34</v>
      </c>
      <c r="B75">
        <f t="shared" si="5"/>
        <v>1.3200000000000007</v>
      </c>
      <c r="C75">
        <f t="shared" si="3"/>
        <v>1.3400000000000007</v>
      </c>
      <c r="D75">
        <f>COUNTIF(N_x!$A$1:$JV$432,"&lt;"&amp;$C75)-SUM(D$7:D74)</f>
        <v>0</v>
      </c>
      <c r="E75">
        <f>COUNTIF(S_x!$A$1:$JV$432,"&gt;"&amp;$C75*-1)-SUM(E$7:E74)</f>
        <v>0</v>
      </c>
      <c r="F75">
        <f>COUNTIF(E_y!$A$1:$JV$432,"&lt;"&amp;$C75)-SUM(F$7:F74)</f>
        <v>0</v>
      </c>
      <c r="G75">
        <f>COUNTIF(W_y!$A$1:$JV$432,"&gt;"&amp;$C75*-1)-SUM(G$7:G74)</f>
        <v>0</v>
      </c>
    </row>
    <row r="76" spans="1:7" x14ac:dyDescent="0.15">
      <c r="A76" t="str">
        <f t="shared" si="4"/>
        <v>1.34-1.36</v>
      </c>
      <c r="B76">
        <f t="shared" si="5"/>
        <v>1.3400000000000007</v>
      </c>
      <c r="C76">
        <f t="shared" si="3"/>
        <v>1.3600000000000008</v>
      </c>
      <c r="D76">
        <f>COUNTIF(N_x!$A$1:$JV$432,"&lt;"&amp;$C76)-SUM(D$7:D75)</f>
        <v>0</v>
      </c>
      <c r="E76">
        <f>COUNTIF(S_x!$A$1:$JV$432,"&gt;"&amp;$C76*-1)-SUM(E$7:E75)</f>
        <v>0</v>
      </c>
      <c r="F76">
        <f>COUNTIF(E_y!$A$1:$JV$432,"&lt;"&amp;$C76)-SUM(F$7:F75)</f>
        <v>0</v>
      </c>
      <c r="G76">
        <f>COUNTIF(W_y!$A$1:$JV$432,"&gt;"&amp;$C76*-1)-SUM(G$7:G75)</f>
        <v>0</v>
      </c>
    </row>
    <row r="77" spans="1:7" x14ac:dyDescent="0.15">
      <c r="A77" t="str">
        <f t="shared" si="4"/>
        <v>1.36-1.38</v>
      </c>
      <c r="B77">
        <f t="shared" si="5"/>
        <v>1.3600000000000008</v>
      </c>
      <c r="C77">
        <f t="shared" si="3"/>
        <v>1.3800000000000008</v>
      </c>
      <c r="D77">
        <f>COUNTIF(N_x!$A$1:$JV$432,"&lt;"&amp;$C77)-SUM(D$7:D76)</f>
        <v>0</v>
      </c>
      <c r="E77">
        <f>COUNTIF(S_x!$A$1:$JV$432,"&gt;"&amp;$C77*-1)-SUM(E$7:E76)</f>
        <v>0</v>
      </c>
      <c r="F77">
        <f>COUNTIF(E_y!$A$1:$JV$432,"&lt;"&amp;$C77)-SUM(F$7:F76)</f>
        <v>0</v>
      </c>
      <c r="G77">
        <f>COUNTIF(W_y!$A$1:$JV$432,"&gt;"&amp;$C77*-1)-SUM(G$7:G76)</f>
        <v>0</v>
      </c>
    </row>
    <row r="78" spans="1:7" x14ac:dyDescent="0.15">
      <c r="A78" t="str">
        <f t="shared" si="4"/>
        <v>1.38-1.4</v>
      </c>
      <c r="B78">
        <f t="shared" si="5"/>
        <v>1.3800000000000008</v>
      </c>
      <c r="C78">
        <f t="shared" si="3"/>
        <v>1.4000000000000008</v>
      </c>
      <c r="D78">
        <f>COUNTIF(N_x!$A$1:$JV$432,"&lt;"&amp;$C78)-SUM(D$7:D77)</f>
        <v>0</v>
      </c>
      <c r="E78">
        <f>COUNTIF(S_x!$A$1:$JV$432,"&gt;"&amp;$C78*-1)-SUM(E$7:E77)</f>
        <v>0</v>
      </c>
      <c r="F78">
        <f>COUNTIF(E_y!$A$1:$JV$432,"&lt;"&amp;$C78)-SUM(F$7:F77)</f>
        <v>0</v>
      </c>
      <c r="G78">
        <f>COUNTIF(W_y!$A$1:$JV$432,"&gt;"&amp;$C78*-1)-SUM(G$7:G77)</f>
        <v>0</v>
      </c>
    </row>
    <row r="79" spans="1:7" x14ac:dyDescent="0.15">
      <c r="A79" t="str">
        <f t="shared" si="4"/>
        <v>1.4-1.42</v>
      </c>
      <c r="B79">
        <f t="shared" si="5"/>
        <v>1.4000000000000008</v>
      </c>
      <c r="C79">
        <f t="shared" si="3"/>
        <v>1.4200000000000008</v>
      </c>
      <c r="D79">
        <f>COUNTIF(N_x!$A$1:$JV$432,"&lt;"&amp;$C79)-SUM(D$7:D78)</f>
        <v>0</v>
      </c>
      <c r="E79">
        <f>COUNTIF(S_x!$A$1:$JV$432,"&gt;"&amp;$C79*-1)-SUM(E$7:E78)</f>
        <v>0</v>
      </c>
      <c r="F79">
        <f>COUNTIF(E_y!$A$1:$JV$432,"&lt;"&amp;$C79)-SUM(F$7:F78)</f>
        <v>0</v>
      </c>
      <c r="G79">
        <f>COUNTIF(W_y!$A$1:$JV$432,"&gt;"&amp;$C79*-1)-SUM(G$7:G78)</f>
        <v>0</v>
      </c>
    </row>
    <row r="80" spans="1:7" x14ac:dyDescent="0.15">
      <c r="A80" t="str">
        <f t="shared" si="4"/>
        <v>1.42-1.44</v>
      </c>
      <c r="B80">
        <f t="shared" si="5"/>
        <v>1.4200000000000008</v>
      </c>
      <c r="C80">
        <f t="shared" si="3"/>
        <v>1.4400000000000008</v>
      </c>
      <c r="D80">
        <f>COUNTIF(N_x!$A$1:$JV$432,"&lt;"&amp;$C80)-SUM(D$7:D79)</f>
        <v>0</v>
      </c>
      <c r="E80">
        <f>COUNTIF(S_x!$A$1:$JV$432,"&gt;"&amp;$C80*-1)-SUM(E$7:E79)</f>
        <v>0</v>
      </c>
      <c r="F80">
        <f>COUNTIF(E_y!$A$1:$JV$432,"&lt;"&amp;$C80)-SUM(F$7:F79)</f>
        <v>0</v>
      </c>
      <c r="G80">
        <f>COUNTIF(W_y!$A$1:$JV$432,"&gt;"&amp;$C80*-1)-SUM(G$7:G79)</f>
        <v>0</v>
      </c>
    </row>
    <row r="81" spans="1:7" x14ac:dyDescent="0.15">
      <c r="A81" t="str">
        <f t="shared" si="4"/>
        <v>1.44-1.46</v>
      </c>
      <c r="B81">
        <f t="shared" si="5"/>
        <v>1.4400000000000008</v>
      </c>
      <c r="C81">
        <f t="shared" si="3"/>
        <v>1.4600000000000009</v>
      </c>
      <c r="D81">
        <f>COUNTIF(N_x!$A$1:$JV$432,"&lt;"&amp;$C81)-SUM(D$7:D80)</f>
        <v>0</v>
      </c>
      <c r="E81">
        <f>COUNTIF(S_x!$A$1:$JV$432,"&gt;"&amp;$C81*-1)-SUM(E$7:E80)</f>
        <v>0</v>
      </c>
      <c r="F81">
        <f>COUNTIF(E_y!$A$1:$JV$432,"&lt;"&amp;$C81)-SUM(F$7:F80)</f>
        <v>0</v>
      </c>
      <c r="G81">
        <f>COUNTIF(W_y!$A$1:$JV$432,"&gt;"&amp;$C81*-1)-SUM(G$7:G80)</f>
        <v>0</v>
      </c>
    </row>
    <row r="82" spans="1:7" x14ac:dyDescent="0.15">
      <c r="A82" t="str">
        <f t="shared" si="4"/>
        <v>1.46-1.48</v>
      </c>
      <c r="B82">
        <f t="shared" si="5"/>
        <v>1.4600000000000009</v>
      </c>
      <c r="C82">
        <f t="shared" si="3"/>
        <v>1.4800000000000009</v>
      </c>
      <c r="D82">
        <f>COUNTIF(N_x!$A$1:$JV$432,"&lt;"&amp;$C82)-SUM(D$7:D81)</f>
        <v>0</v>
      </c>
      <c r="E82">
        <f>COUNTIF(S_x!$A$1:$JV$432,"&gt;"&amp;$C82*-1)-SUM(E$7:E81)</f>
        <v>0</v>
      </c>
      <c r="F82">
        <f>COUNTIF(E_y!$A$1:$JV$432,"&lt;"&amp;$C82)-SUM(F$7:F81)</f>
        <v>0</v>
      </c>
      <c r="G82">
        <f>COUNTIF(W_y!$A$1:$JV$432,"&gt;"&amp;$C82*-1)-SUM(G$7:G81)</f>
        <v>0</v>
      </c>
    </row>
    <row r="83" spans="1:7" x14ac:dyDescent="0.15">
      <c r="A83" t="str">
        <f t="shared" si="4"/>
        <v>1.48-1.5</v>
      </c>
      <c r="B83">
        <f t="shared" si="5"/>
        <v>1.4800000000000009</v>
      </c>
      <c r="C83">
        <f t="shared" si="3"/>
        <v>1.5000000000000009</v>
      </c>
      <c r="D83">
        <f>COUNTIF(N_x!$A$1:$JV$432,"&lt;"&amp;$C83)-SUM(D$7:D82)</f>
        <v>0</v>
      </c>
      <c r="E83">
        <f>COUNTIF(S_x!$A$1:$JV$432,"&gt;"&amp;$C83*-1)-SUM(E$7:E82)</f>
        <v>0</v>
      </c>
      <c r="F83">
        <f>COUNTIF(E_y!$A$1:$JV$432,"&lt;"&amp;$C83)-SUM(F$7:F82)</f>
        <v>0</v>
      </c>
      <c r="G83">
        <f>COUNTIF(W_y!$A$1:$JV$432,"&gt;"&amp;$C83*-1)-SUM(G$7:G82)</f>
        <v>0</v>
      </c>
    </row>
    <row r="84" spans="1:7" x14ac:dyDescent="0.15">
      <c r="A84" t="str">
        <f t="shared" si="4"/>
        <v>1.5-1.52</v>
      </c>
      <c r="B84">
        <f t="shared" si="5"/>
        <v>1.5000000000000009</v>
      </c>
      <c r="C84">
        <f t="shared" si="3"/>
        <v>1.5200000000000009</v>
      </c>
      <c r="D84">
        <f>COUNTIF(N_x!$A$1:$JV$432,"&lt;"&amp;$C84)-SUM(D$7:D83)</f>
        <v>0</v>
      </c>
      <c r="E84">
        <f>COUNTIF(S_x!$A$1:$JV$432,"&gt;"&amp;$C84*-1)-SUM(E$7:E83)</f>
        <v>0</v>
      </c>
      <c r="F84">
        <f>COUNTIF(E_y!$A$1:$JV$432,"&lt;"&amp;$C84)-SUM(F$7:F83)</f>
        <v>0</v>
      </c>
      <c r="G84">
        <f>COUNTIF(W_y!$A$1:$JV$432,"&gt;"&amp;$C84*-1)-SUM(G$7:G83)</f>
        <v>0</v>
      </c>
    </row>
    <row r="85" spans="1:7" x14ac:dyDescent="0.15">
      <c r="A85" t="str">
        <f t="shared" si="4"/>
        <v>1.52-1.54</v>
      </c>
      <c r="B85">
        <f t="shared" si="5"/>
        <v>1.5200000000000009</v>
      </c>
      <c r="C85">
        <f t="shared" si="3"/>
        <v>1.5400000000000009</v>
      </c>
      <c r="D85">
        <f>COUNTIF(N_x!$A$1:$JV$432,"&lt;"&amp;$C85)-SUM(D$7:D84)</f>
        <v>0</v>
      </c>
      <c r="E85">
        <f>COUNTIF(S_x!$A$1:$JV$432,"&gt;"&amp;$C85*-1)-SUM(E$7:E84)</f>
        <v>0</v>
      </c>
      <c r="F85">
        <f>COUNTIF(E_y!$A$1:$JV$432,"&lt;"&amp;$C85)-SUM(F$7:F84)</f>
        <v>0</v>
      </c>
      <c r="G85">
        <f>COUNTIF(W_y!$A$1:$JV$432,"&gt;"&amp;$C85*-1)-SUM(G$7:G84)</f>
        <v>0</v>
      </c>
    </row>
    <row r="86" spans="1:7" x14ac:dyDescent="0.15">
      <c r="A86" t="str">
        <f t="shared" si="4"/>
        <v>1.54-1.56</v>
      </c>
      <c r="B86">
        <f t="shared" si="5"/>
        <v>1.5400000000000009</v>
      </c>
      <c r="C86">
        <f t="shared" si="3"/>
        <v>1.5600000000000009</v>
      </c>
      <c r="D86">
        <f>COUNTIF(N_x!$A$1:$JV$432,"&lt;"&amp;$C86)-SUM(D$7:D85)</f>
        <v>0</v>
      </c>
      <c r="E86">
        <f>COUNTIF(S_x!$A$1:$JV$432,"&gt;"&amp;$C86*-1)-SUM(E$7:E85)</f>
        <v>0</v>
      </c>
      <c r="F86">
        <f>COUNTIF(E_y!$A$1:$JV$432,"&lt;"&amp;$C86)-SUM(F$7:F85)</f>
        <v>0</v>
      </c>
      <c r="G86">
        <f>COUNTIF(W_y!$A$1:$JV$432,"&gt;"&amp;$C86*-1)-SUM(G$7:G85)</f>
        <v>0</v>
      </c>
    </row>
    <row r="87" spans="1:7" x14ac:dyDescent="0.15">
      <c r="A87" t="str">
        <f t="shared" si="4"/>
        <v>1.56-1.58</v>
      </c>
      <c r="B87">
        <f t="shared" si="5"/>
        <v>1.5600000000000009</v>
      </c>
      <c r="C87">
        <f t="shared" si="3"/>
        <v>1.580000000000001</v>
      </c>
      <c r="D87">
        <f>COUNTIF(N_x!$A$1:$JV$432,"&lt;"&amp;$C87)-SUM(D$7:D86)</f>
        <v>0</v>
      </c>
      <c r="E87">
        <f>COUNTIF(S_x!$A$1:$JV$432,"&gt;"&amp;$C87*-1)-SUM(E$7:E86)</f>
        <v>0</v>
      </c>
      <c r="F87">
        <f>COUNTIF(E_y!$A$1:$JV$432,"&lt;"&amp;$C87)-SUM(F$7:F86)</f>
        <v>0</v>
      </c>
      <c r="G87">
        <f>COUNTIF(W_y!$A$1:$JV$432,"&gt;"&amp;$C87*-1)-SUM(G$7:G86)</f>
        <v>0</v>
      </c>
    </row>
    <row r="88" spans="1:7" x14ac:dyDescent="0.15">
      <c r="A88" t="str">
        <f t="shared" si="4"/>
        <v>1.58-1.6</v>
      </c>
      <c r="B88">
        <f t="shared" si="5"/>
        <v>1.580000000000001</v>
      </c>
      <c r="C88">
        <f t="shared" si="3"/>
        <v>1.600000000000001</v>
      </c>
      <c r="D88">
        <f>COUNTIF(N_x!$A$1:$JV$432,"&lt;"&amp;$C88)-SUM(D$7:D87)</f>
        <v>0</v>
      </c>
      <c r="E88">
        <f>COUNTIF(S_x!$A$1:$JV$432,"&gt;"&amp;$C88*-1)-SUM(E$7:E87)</f>
        <v>0</v>
      </c>
      <c r="F88">
        <f>COUNTIF(E_y!$A$1:$JV$432,"&lt;"&amp;$C88)-SUM(F$7:F87)</f>
        <v>0</v>
      </c>
      <c r="G88">
        <f>COUNTIF(W_y!$A$1:$JV$432,"&gt;"&amp;$C88*-1)-SUM(G$7:G87)</f>
        <v>0</v>
      </c>
    </row>
    <row r="89" spans="1:7" x14ac:dyDescent="0.15">
      <c r="A89" t="str">
        <f t="shared" si="4"/>
        <v>1.6-1.62</v>
      </c>
      <c r="B89">
        <f t="shared" si="5"/>
        <v>1.600000000000001</v>
      </c>
      <c r="C89">
        <f t="shared" si="3"/>
        <v>1.620000000000001</v>
      </c>
      <c r="D89">
        <f>COUNTIF(N_x!$A$1:$JV$432,"&lt;"&amp;$C89)-SUM(D$7:D88)</f>
        <v>0</v>
      </c>
      <c r="E89">
        <f>COUNTIF(S_x!$A$1:$JV$432,"&gt;"&amp;$C89*-1)-SUM(E$7:E88)</f>
        <v>0</v>
      </c>
      <c r="F89">
        <f>COUNTIF(E_y!$A$1:$JV$432,"&lt;"&amp;$C89)-SUM(F$7:F88)</f>
        <v>0</v>
      </c>
      <c r="G89">
        <f>COUNTIF(W_y!$A$1:$JV$432,"&gt;"&amp;$C89*-1)-SUM(G$7:G88)</f>
        <v>0</v>
      </c>
    </row>
    <row r="90" spans="1:7" x14ac:dyDescent="0.15">
      <c r="A90" t="str">
        <f t="shared" si="4"/>
        <v>1.62-1.64</v>
      </c>
      <c r="B90">
        <f t="shared" si="5"/>
        <v>1.620000000000001</v>
      </c>
      <c r="C90">
        <f t="shared" si="3"/>
        <v>1.640000000000001</v>
      </c>
      <c r="D90">
        <f>COUNTIF(N_x!$A$1:$JV$432,"&lt;"&amp;$C90)-SUM(D$7:D89)</f>
        <v>0</v>
      </c>
      <c r="E90">
        <f>COUNTIF(S_x!$A$1:$JV$432,"&gt;"&amp;$C90*-1)-SUM(E$7:E89)</f>
        <v>0</v>
      </c>
      <c r="F90">
        <f>COUNTIF(E_y!$A$1:$JV$432,"&lt;"&amp;$C90)-SUM(F$7:F89)</f>
        <v>0</v>
      </c>
      <c r="G90">
        <f>COUNTIF(W_y!$A$1:$JV$432,"&gt;"&amp;$C90*-1)-SUM(G$7:G89)</f>
        <v>0</v>
      </c>
    </row>
    <row r="91" spans="1:7" x14ac:dyDescent="0.15">
      <c r="A91" t="str">
        <f t="shared" si="4"/>
        <v>1.64-1.66</v>
      </c>
      <c r="B91">
        <f t="shared" si="5"/>
        <v>1.640000000000001</v>
      </c>
      <c r="C91">
        <f t="shared" si="3"/>
        <v>1.660000000000001</v>
      </c>
      <c r="D91">
        <f>COUNTIF(N_x!$A$1:$JV$432,"&lt;"&amp;$C91)-SUM(D$7:D90)</f>
        <v>0</v>
      </c>
      <c r="E91">
        <f>COUNTIF(S_x!$A$1:$JV$432,"&gt;"&amp;$C91*-1)-SUM(E$7:E90)</f>
        <v>0</v>
      </c>
      <c r="F91">
        <f>COUNTIF(E_y!$A$1:$JV$432,"&lt;"&amp;$C91)-SUM(F$7:F90)</f>
        <v>0</v>
      </c>
      <c r="G91">
        <f>COUNTIF(W_y!$A$1:$JV$432,"&gt;"&amp;$C91*-1)-SUM(G$7:G90)</f>
        <v>0</v>
      </c>
    </row>
    <row r="92" spans="1:7" x14ac:dyDescent="0.15">
      <c r="A92" t="str">
        <f t="shared" si="4"/>
        <v>1.66-1.68</v>
      </c>
      <c r="B92">
        <f t="shared" si="5"/>
        <v>1.660000000000001</v>
      </c>
      <c r="C92">
        <f t="shared" si="3"/>
        <v>1.680000000000001</v>
      </c>
      <c r="D92">
        <f>COUNTIF(N_x!$A$1:$JV$432,"&lt;"&amp;$C92)-SUM(D$7:D91)</f>
        <v>0</v>
      </c>
      <c r="E92">
        <f>COUNTIF(S_x!$A$1:$JV$432,"&gt;"&amp;$C92*-1)-SUM(E$7:E91)</f>
        <v>0</v>
      </c>
      <c r="F92">
        <f>COUNTIF(E_y!$A$1:$JV$432,"&lt;"&amp;$C92)-SUM(F$7:F91)</f>
        <v>0</v>
      </c>
      <c r="G92">
        <f>COUNTIF(W_y!$A$1:$JV$432,"&gt;"&amp;$C92*-1)-SUM(G$7:G91)</f>
        <v>0</v>
      </c>
    </row>
    <row r="93" spans="1:7" x14ac:dyDescent="0.15">
      <c r="A93" t="str">
        <f t="shared" si="4"/>
        <v>1.68-1.7</v>
      </c>
      <c r="B93">
        <f t="shared" si="5"/>
        <v>1.680000000000001</v>
      </c>
      <c r="C93">
        <f t="shared" si="3"/>
        <v>1.7000000000000011</v>
      </c>
      <c r="D93">
        <f>COUNTIF(N_x!$A$1:$JV$432,"&lt;"&amp;$C93)-SUM(D$7:D92)</f>
        <v>0</v>
      </c>
      <c r="E93">
        <f>COUNTIF(S_x!$A$1:$JV$432,"&gt;"&amp;$C93*-1)-SUM(E$7:E92)</f>
        <v>0</v>
      </c>
      <c r="F93">
        <f>COUNTIF(E_y!$A$1:$JV$432,"&lt;"&amp;$C93)-SUM(F$7:F92)</f>
        <v>0</v>
      </c>
      <c r="G93">
        <f>COUNTIF(W_y!$A$1:$JV$432,"&gt;"&amp;$C93*-1)-SUM(G$7:G92)</f>
        <v>0</v>
      </c>
    </row>
    <row r="94" spans="1:7" x14ac:dyDescent="0.15">
      <c r="A94" t="str">
        <f t="shared" si="4"/>
        <v>1.7-1.72</v>
      </c>
      <c r="B94">
        <f t="shared" si="5"/>
        <v>1.7000000000000011</v>
      </c>
      <c r="C94">
        <f t="shared" si="3"/>
        <v>1.7200000000000011</v>
      </c>
      <c r="D94">
        <f>COUNTIF(N_x!$A$1:$JV$432,"&lt;"&amp;$C94)-SUM(D$7:D93)</f>
        <v>0</v>
      </c>
      <c r="E94">
        <f>COUNTIF(S_x!$A$1:$JV$432,"&gt;"&amp;$C94*-1)-SUM(E$7:E93)</f>
        <v>0</v>
      </c>
      <c r="F94">
        <f>COUNTIF(E_y!$A$1:$JV$432,"&lt;"&amp;$C94)-SUM(F$7:F93)</f>
        <v>0</v>
      </c>
      <c r="G94">
        <f>COUNTIF(W_y!$A$1:$JV$432,"&gt;"&amp;$C94*-1)-SUM(G$7:G93)</f>
        <v>0</v>
      </c>
    </row>
    <row r="95" spans="1:7" x14ac:dyDescent="0.15">
      <c r="A95" t="str">
        <f t="shared" si="4"/>
        <v>1.72-1.74</v>
      </c>
      <c r="B95">
        <f t="shared" si="5"/>
        <v>1.7200000000000011</v>
      </c>
      <c r="C95">
        <f t="shared" si="3"/>
        <v>1.7400000000000011</v>
      </c>
      <c r="D95">
        <f>COUNTIF(N_x!$A$1:$JV$432,"&lt;"&amp;$C95)-SUM(D$7:D94)</f>
        <v>0</v>
      </c>
      <c r="E95">
        <f>COUNTIF(S_x!$A$1:$JV$432,"&gt;"&amp;$C95*-1)-SUM(E$7:E94)</f>
        <v>0</v>
      </c>
      <c r="F95">
        <f>COUNTIF(E_y!$A$1:$JV$432,"&lt;"&amp;$C95)-SUM(F$7:F94)</f>
        <v>0</v>
      </c>
      <c r="G95">
        <f>COUNTIF(W_y!$A$1:$JV$432,"&gt;"&amp;$C95*-1)-SUM(G$7:G94)</f>
        <v>0</v>
      </c>
    </row>
    <row r="96" spans="1:7" x14ac:dyDescent="0.15">
      <c r="A96" t="str">
        <f t="shared" si="4"/>
        <v>1.74-1.76</v>
      </c>
      <c r="B96">
        <f t="shared" si="5"/>
        <v>1.7400000000000011</v>
      </c>
      <c r="C96">
        <f t="shared" si="3"/>
        <v>1.7600000000000011</v>
      </c>
      <c r="D96">
        <f>COUNTIF(N_x!$A$1:$JV$432,"&lt;"&amp;$C96)-SUM(D$7:D95)</f>
        <v>0</v>
      </c>
      <c r="E96">
        <f>COUNTIF(S_x!$A$1:$JV$432,"&gt;"&amp;$C96*-1)-SUM(E$7:E95)</f>
        <v>0</v>
      </c>
      <c r="F96">
        <f>COUNTIF(E_y!$A$1:$JV$432,"&lt;"&amp;$C96)-SUM(F$7:F95)</f>
        <v>0</v>
      </c>
      <c r="G96">
        <f>COUNTIF(W_y!$A$1:$JV$432,"&gt;"&amp;$C96*-1)-SUM(G$7:G95)</f>
        <v>0</v>
      </c>
    </row>
    <row r="97" spans="1:7" x14ac:dyDescent="0.15">
      <c r="A97" t="str">
        <f t="shared" si="4"/>
        <v>1.76-1.78</v>
      </c>
      <c r="B97">
        <f t="shared" si="5"/>
        <v>1.7600000000000011</v>
      </c>
      <c r="C97">
        <f t="shared" si="3"/>
        <v>1.7800000000000011</v>
      </c>
      <c r="D97">
        <f>COUNTIF(N_x!$A$1:$JV$432,"&lt;"&amp;$C97)-SUM(D$7:D96)</f>
        <v>0</v>
      </c>
      <c r="E97">
        <f>COUNTIF(S_x!$A$1:$JV$432,"&gt;"&amp;$C97*-1)-SUM(E$7:E96)</f>
        <v>0</v>
      </c>
      <c r="F97">
        <f>COUNTIF(E_y!$A$1:$JV$432,"&lt;"&amp;$C97)-SUM(F$7:F96)</f>
        <v>0</v>
      </c>
      <c r="G97">
        <f>COUNTIF(W_y!$A$1:$JV$432,"&gt;"&amp;$C97*-1)-SUM(G$7:G96)</f>
        <v>0</v>
      </c>
    </row>
    <row r="98" spans="1:7" x14ac:dyDescent="0.15">
      <c r="A98" t="str">
        <f t="shared" si="4"/>
        <v>1.78-1.8</v>
      </c>
      <c r="B98">
        <f t="shared" si="5"/>
        <v>1.7800000000000011</v>
      </c>
      <c r="C98">
        <f t="shared" si="3"/>
        <v>1.8000000000000012</v>
      </c>
      <c r="D98">
        <f>COUNTIF(N_x!$A$1:$JV$432,"&lt;"&amp;$C98)-SUM(D$7:D97)</f>
        <v>0</v>
      </c>
      <c r="E98">
        <f>COUNTIF(S_x!$A$1:$JV$432,"&gt;"&amp;$C98*-1)-SUM(E$7:E97)</f>
        <v>0</v>
      </c>
      <c r="F98">
        <f>COUNTIF(E_y!$A$1:$JV$432,"&lt;"&amp;$C98)-SUM(F$7:F97)</f>
        <v>0</v>
      </c>
      <c r="G98">
        <f>COUNTIF(W_y!$A$1:$JV$432,"&gt;"&amp;$C98*-1)-SUM(G$7:G97)</f>
        <v>0</v>
      </c>
    </row>
    <row r="99" spans="1:7" x14ac:dyDescent="0.15">
      <c r="A99" t="str">
        <f t="shared" si="4"/>
        <v>1.8-1.82</v>
      </c>
      <c r="B99">
        <f t="shared" si="5"/>
        <v>1.8000000000000012</v>
      </c>
      <c r="C99">
        <f t="shared" si="3"/>
        <v>1.8200000000000012</v>
      </c>
      <c r="D99">
        <f>COUNTIF(N_x!$A$1:$JV$432,"&lt;"&amp;$C99)-SUM(D$7:D98)</f>
        <v>0</v>
      </c>
      <c r="E99">
        <f>COUNTIF(S_x!$A$1:$JV$432,"&gt;"&amp;$C99*-1)-SUM(E$7:E98)</f>
        <v>0</v>
      </c>
      <c r="F99">
        <f>COUNTIF(E_y!$A$1:$JV$432,"&lt;"&amp;$C99)-SUM(F$7:F98)</f>
        <v>0</v>
      </c>
      <c r="G99">
        <f>COUNTIF(W_y!$A$1:$JV$432,"&gt;"&amp;$C99*-1)-SUM(G$7:G98)</f>
        <v>0</v>
      </c>
    </row>
    <row r="100" spans="1:7" x14ac:dyDescent="0.15">
      <c r="A100" t="str">
        <f t="shared" si="4"/>
        <v>1.82-1.84</v>
      </c>
      <c r="B100">
        <f t="shared" si="5"/>
        <v>1.8200000000000012</v>
      </c>
      <c r="C100">
        <f t="shared" si="3"/>
        <v>1.8400000000000012</v>
      </c>
      <c r="D100">
        <f>COUNTIF(N_x!$A$1:$JV$432,"&lt;"&amp;$C100)-SUM(D$7:D99)</f>
        <v>0</v>
      </c>
      <c r="E100">
        <f>COUNTIF(S_x!$A$1:$JV$432,"&gt;"&amp;$C100*-1)-SUM(E$7:E99)</f>
        <v>0</v>
      </c>
      <c r="F100">
        <f>COUNTIF(E_y!$A$1:$JV$432,"&lt;"&amp;$C100)-SUM(F$7:F99)</f>
        <v>0</v>
      </c>
      <c r="G100">
        <f>COUNTIF(W_y!$A$1:$JV$432,"&gt;"&amp;$C100*-1)-SUM(G$7:G99)</f>
        <v>0</v>
      </c>
    </row>
    <row r="101" spans="1:7" x14ac:dyDescent="0.15">
      <c r="A101" t="str">
        <f t="shared" si="4"/>
        <v>1.84-1.86</v>
      </c>
      <c r="B101">
        <f t="shared" si="5"/>
        <v>1.8400000000000012</v>
      </c>
      <c r="C101">
        <f t="shared" si="3"/>
        <v>1.8600000000000012</v>
      </c>
      <c r="D101">
        <f>COUNTIF(N_x!$A$1:$JV$432,"&lt;"&amp;$C101)-SUM(D$7:D100)</f>
        <v>0</v>
      </c>
      <c r="E101">
        <f>COUNTIF(S_x!$A$1:$JV$432,"&gt;"&amp;$C101*-1)-SUM(E$7:E100)</f>
        <v>0</v>
      </c>
      <c r="F101">
        <f>COUNTIF(E_y!$A$1:$JV$432,"&lt;"&amp;$C101)-SUM(F$7:F100)</f>
        <v>0</v>
      </c>
      <c r="G101">
        <f>COUNTIF(W_y!$A$1:$JV$432,"&gt;"&amp;$C101*-1)-SUM(G$7:G100)</f>
        <v>0</v>
      </c>
    </row>
    <row r="102" spans="1:7" x14ac:dyDescent="0.15">
      <c r="A102" t="str">
        <f t="shared" si="4"/>
        <v>1.86-1.88</v>
      </c>
      <c r="B102">
        <f t="shared" si="5"/>
        <v>1.8600000000000012</v>
      </c>
      <c r="C102">
        <f t="shared" si="3"/>
        <v>1.8800000000000012</v>
      </c>
      <c r="D102">
        <f>COUNTIF(N_x!$A$1:$JV$432,"&lt;"&amp;$C102)-SUM(D$7:D101)</f>
        <v>0</v>
      </c>
      <c r="E102">
        <f>COUNTIF(S_x!$A$1:$JV$432,"&gt;"&amp;$C102*-1)-SUM(E$7:E101)</f>
        <v>0</v>
      </c>
      <c r="F102">
        <f>COUNTIF(E_y!$A$1:$JV$432,"&lt;"&amp;$C102)-SUM(F$7:F101)</f>
        <v>0</v>
      </c>
      <c r="G102">
        <f>COUNTIF(W_y!$A$1:$JV$432,"&gt;"&amp;$C102*-1)-SUM(G$7:G101)</f>
        <v>0</v>
      </c>
    </row>
    <row r="103" spans="1:7" x14ac:dyDescent="0.15">
      <c r="A103" t="str">
        <f t="shared" si="4"/>
        <v>1.88-1.9</v>
      </c>
      <c r="B103">
        <f t="shared" si="5"/>
        <v>1.8800000000000012</v>
      </c>
      <c r="C103">
        <f t="shared" si="3"/>
        <v>1.9000000000000012</v>
      </c>
      <c r="D103">
        <f>COUNTIF(N_x!$A$1:$JV$432,"&lt;"&amp;$C103)-SUM(D$7:D102)</f>
        <v>0</v>
      </c>
      <c r="E103">
        <f>COUNTIF(S_x!$A$1:$JV$432,"&gt;"&amp;$C103*-1)-SUM(E$7:E102)</f>
        <v>0</v>
      </c>
      <c r="F103">
        <f>COUNTIF(E_y!$A$1:$JV$432,"&lt;"&amp;$C103)-SUM(F$7:F102)</f>
        <v>0</v>
      </c>
      <c r="G103">
        <f>COUNTIF(W_y!$A$1:$JV$432,"&gt;"&amp;$C103*-1)-SUM(G$7:G102)</f>
        <v>0</v>
      </c>
    </row>
    <row r="104" spans="1:7" x14ac:dyDescent="0.15">
      <c r="A104" t="str">
        <f t="shared" si="4"/>
        <v>1.9-1.92</v>
      </c>
      <c r="B104">
        <f t="shared" si="5"/>
        <v>1.9000000000000012</v>
      </c>
      <c r="C104">
        <f t="shared" si="3"/>
        <v>1.9200000000000013</v>
      </c>
      <c r="D104">
        <f>COUNTIF(N_x!$A$1:$JV$432,"&lt;"&amp;$C104)-SUM(D$7:D103)</f>
        <v>0</v>
      </c>
      <c r="E104">
        <f>COUNTIF(S_x!$A$1:$JV$432,"&gt;"&amp;$C104*-1)-SUM(E$7:E103)</f>
        <v>0</v>
      </c>
      <c r="F104">
        <f>COUNTIF(E_y!$A$1:$JV$432,"&lt;"&amp;$C104)-SUM(F$7:F103)</f>
        <v>0</v>
      </c>
      <c r="G104">
        <f>COUNTIF(W_y!$A$1:$JV$432,"&gt;"&amp;$C104*-1)-SUM(G$7:G103)</f>
        <v>0</v>
      </c>
    </row>
    <row r="105" spans="1:7" x14ac:dyDescent="0.15">
      <c r="A105" t="str">
        <f t="shared" si="4"/>
        <v>1.92-1.94</v>
      </c>
      <c r="B105">
        <f t="shared" si="5"/>
        <v>1.9200000000000013</v>
      </c>
      <c r="C105">
        <f t="shared" si="3"/>
        <v>1.9400000000000013</v>
      </c>
      <c r="D105">
        <f>COUNTIF(N_x!$A$1:$JV$432,"&lt;"&amp;$C105)-SUM(D$7:D104)</f>
        <v>0</v>
      </c>
      <c r="E105">
        <f>COUNTIF(S_x!$A$1:$JV$432,"&gt;"&amp;$C105*-1)-SUM(E$7:E104)</f>
        <v>0</v>
      </c>
      <c r="F105">
        <f>COUNTIF(E_y!$A$1:$JV$432,"&lt;"&amp;$C105)-SUM(F$7:F104)</f>
        <v>0</v>
      </c>
      <c r="G105">
        <f>COUNTIF(W_y!$A$1:$JV$432,"&gt;"&amp;$C105*-1)-SUM(G$7:G104)</f>
        <v>0</v>
      </c>
    </row>
    <row r="106" spans="1:7" x14ac:dyDescent="0.15">
      <c r="A106" t="str">
        <f t="shared" si="4"/>
        <v>1.94-1.96</v>
      </c>
      <c r="B106">
        <f t="shared" si="5"/>
        <v>1.9400000000000013</v>
      </c>
      <c r="C106">
        <f t="shared" si="3"/>
        <v>1.9600000000000013</v>
      </c>
      <c r="D106">
        <f>COUNTIF(N_x!$A$1:$JV$432,"&lt;"&amp;$C106)-SUM(D$7:D105)</f>
        <v>0</v>
      </c>
      <c r="E106">
        <f>COUNTIF(S_x!$A$1:$JV$432,"&gt;"&amp;$C106*-1)-SUM(E$7:E105)</f>
        <v>0</v>
      </c>
      <c r="F106">
        <f>COUNTIF(E_y!$A$1:$JV$432,"&lt;"&amp;$C106)-SUM(F$7:F105)</f>
        <v>0</v>
      </c>
      <c r="G106">
        <f>COUNTIF(W_y!$A$1:$JV$432,"&gt;"&amp;$C106*-1)-SUM(G$7:G105)</f>
        <v>0</v>
      </c>
    </row>
    <row r="107" spans="1:7" x14ac:dyDescent="0.15">
      <c r="A107" t="str">
        <f t="shared" si="4"/>
        <v>1.96-1.98</v>
      </c>
      <c r="B107">
        <f t="shared" si="5"/>
        <v>1.9600000000000013</v>
      </c>
      <c r="C107">
        <f t="shared" si="3"/>
        <v>1.9800000000000013</v>
      </c>
      <c r="D107">
        <f>COUNTIF(N_x!$A$1:$JV$432,"&lt;"&amp;$C107)-SUM(D$7:D106)</f>
        <v>0</v>
      </c>
      <c r="E107">
        <f>COUNTIF(S_x!$A$1:$JV$432,"&gt;"&amp;$C107*-1)-SUM(E$7:E106)</f>
        <v>0</v>
      </c>
      <c r="F107">
        <f>COUNTIF(E_y!$A$1:$JV$432,"&lt;"&amp;$C107)-SUM(F$7:F106)</f>
        <v>0</v>
      </c>
      <c r="G107">
        <f>COUNTIF(W_y!$A$1:$JV$432,"&gt;"&amp;$C107*-1)-SUM(G$7:G106)</f>
        <v>0</v>
      </c>
    </row>
    <row r="108" spans="1:7" x14ac:dyDescent="0.15">
      <c r="A108" t="str">
        <f t="shared" si="4"/>
        <v>1.98-2</v>
      </c>
      <c r="B108">
        <f t="shared" si="5"/>
        <v>1.9800000000000013</v>
      </c>
      <c r="C108">
        <f t="shared" si="3"/>
        <v>2.0000000000000013</v>
      </c>
      <c r="D108">
        <f>COUNTIF(N_x!$A$1:$JV$432,"&lt;"&amp;$C108)-SUM(D$7:D107)</f>
        <v>0</v>
      </c>
      <c r="E108">
        <f>COUNTIF(S_x!$A$1:$JV$432,"&gt;"&amp;$C108*-1)-SUM(E$7:E107)</f>
        <v>0</v>
      </c>
      <c r="F108">
        <f>COUNTIF(E_y!$A$1:$JV$432,"&lt;"&amp;$C108)-SUM(F$7:F107)</f>
        <v>0</v>
      </c>
      <c r="G108">
        <f>COUNTIF(W_y!$A$1:$JV$432,"&gt;"&amp;$C108*-1)-SUM(G$7:G107)</f>
        <v>0</v>
      </c>
    </row>
    <row r="109" spans="1:7" x14ac:dyDescent="0.15">
      <c r="A109" t="str">
        <f t="shared" si="4"/>
        <v>2-2.02</v>
      </c>
      <c r="B109">
        <f t="shared" si="5"/>
        <v>2.0000000000000013</v>
      </c>
      <c r="C109">
        <f t="shared" si="3"/>
        <v>2.0200000000000014</v>
      </c>
      <c r="D109">
        <f>COUNTIF(N_x!$A$1:$JV$432,"&lt;"&amp;$C109)-SUM(D$7:D108)</f>
        <v>0</v>
      </c>
      <c r="E109">
        <f>COUNTIF(S_x!$A$1:$JV$432,"&gt;"&amp;$C109*-1)-SUM(E$7:E108)</f>
        <v>0</v>
      </c>
      <c r="F109">
        <f>COUNTIF(E_y!$A$1:$JV$432,"&lt;"&amp;$C109)-SUM(F$7:F108)</f>
        <v>0</v>
      </c>
      <c r="G109">
        <f>COUNTIF(W_y!$A$1:$JV$432,"&gt;"&amp;$C109*-1)-SUM(G$7:G108)</f>
        <v>0</v>
      </c>
    </row>
    <row r="110" spans="1:7" x14ac:dyDescent="0.15">
      <c r="A110" t="str">
        <f t="shared" si="4"/>
        <v>2.02-2.04</v>
      </c>
      <c r="B110">
        <f t="shared" si="5"/>
        <v>2.0200000000000014</v>
      </c>
      <c r="C110">
        <f t="shared" si="3"/>
        <v>2.0400000000000014</v>
      </c>
      <c r="D110">
        <f>COUNTIF(N_x!$A$1:$JV$432,"&lt;"&amp;$C110)-SUM(D$7:D109)</f>
        <v>0</v>
      </c>
      <c r="E110">
        <f>COUNTIF(S_x!$A$1:$JV$432,"&gt;"&amp;$C110*-1)-SUM(E$7:E109)</f>
        <v>0</v>
      </c>
      <c r="F110">
        <f>COUNTIF(E_y!$A$1:$JV$432,"&lt;"&amp;$C110)-SUM(F$7:F109)</f>
        <v>0</v>
      </c>
      <c r="G110">
        <f>COUNTIF(W_y!$A$1:$JV$432,"&gt;"&amp;$C110*-1)-SUM(G$7:G109)</f>
        <v>0</v>
      </c>
    </row>
    <row r="111" spans="1:7" x14ac:dyDescent="0.15">
      <c r="A111" t="str">
        <f t="shared" si="4"/>
        <v>2.04-2.06</v>
      </c>
      <c r="B111">
        <f t="shared" si="5"/>
        <v>2.0400000000000014</v>
      </c>
      <c r="C111">
        <f t="shared" si="3"/>
        <v>2.0600000000000014</v>
      </c>
      <c r="D111">
        <f>COUNTIF(N_x!$A$1:$JV$432,"&lt;"&amp;$C111)-SUM(D$7:D110)</f>
        <v>0</v>
      </c>
      <c r="E111">
        <f>COUNTIF(S_x!$A$1:$JV$432,"&gt;"&amp;$C111*-1)-SUM(E$7:E110)</f>
        <v>0</v>
      </c>
      <c r="F111">
        <f>COUNTIF(E_y!$A$1:$JV$432,"&lt;"&amp;$C111)-SUM(F$7:F110)</f>
        <v>0</v>
      </c>
      <c r="G111">
        <f>COUNTIF(W_y!$A$1:$JV$432,"&gt;"&amp;$C111*-1)-SUM(G$7:G110)</f>
        <v>0</v>
      </c>
    </row>
    <row r="112" spans="1:7" x14ac:dyDescent="0.15">
      <c r="A112" t="str">
        <f t="shared" si="4"/>
        <v>2.06-2.08</v>
      </c>
      <c r="B112">
        <f t="shared" si="5"/>
        <v>2.0600000000000014</v>
      </c>
      <c r="C112">
        <f t="shared" si="3"/>
        <v>2.0800000000000014</v>
      </c>
      <c r="D112">
        <f>COUNTIF(N_x!$A$1:$JV$432,"&lt;"&amp;$C112)-SUM(D$7:D111)</f>
        <v>0</v>
      </c>
      <c r="E112">
        <f>COUNTIF(S_x!$A$1:$JV$432,"&gt;"&amp;$C112*-1)-SUM(E$7:E111)</f>
        <v>0</v>
      </c>
      <c r="F112">
        <f>COUNTIF(E_y!$A$1:$JV$432,"&lt;"&amp;$C112)-SUM(F$7:F111)</f>
        <v>0</v>
      </c>
      <c r="G112">
        <f>COUNTIF(W_y!$A$1:$JV$432,"&gt;"&amp;$C112*-1)-SUM(G$7:G111)</f>
        <v>0</v>
      </c>
    </row>
    <row r="113" spans="1:7" x14ac:dyDescent="0.15">
      <c r="A113" t="str">
        <f t="shared" si="4"/>
        <v>2.08-2.1</v>
      </c>
      <c r="B113">
        <f t="shared" si="5"/>
        <v>2.0800000000000014</v>
      </c>
      <c r="C113">
        <f t="shared" si="3"/>
        <v>2.1000000000000014</v>
      </c>
      <c r="D113">
        <f>COUNTIF(N_x!$A$1:$JV$432,"&lt;"&amp;$C113)-SUM(D$7:D112)</f>
        <v>0</v>
      </c>
      <c r="E113">
        <f>COUNTIF(S_x!$A$1:$JV$432,"&gt;"&amp;$C113*-1)-SUM(E$7:E112)</f>
        <v>0</v>
      </c>
      <c r="F113">
        <f>COUNTIF(E_y!$A$1:$JV$432,"&lt;"&amp;$C113)-SUM(F$7:F112)</f>
        <v>0</v>
      </c>
      <c r="G113">
        <f>COUNTIF(W_y!$A$1:$JV$432,"&gt;"&amp;$C113*-1)-SUM(G$7:G112)</f>
        <v>0</v>
      </c>
    </row>
    <row r="114" spans="1:7" x14ac:dyDescent="0.15">
      <c r="A114" t="str">
        <f t="shared" si="4"/>
        <v>2.1-2.12</v>
      </c>
      <c r="B114">
        <f t="shared" si="5"/>
        <v>2.1000000000000014</v>
      </c>
      <c r="C114">
        <f t="shared" si="3"/>
        <v>2.1200000000000014</v>
      </c>
      <c r="D114">
        <f>COUNTIF(N_x!$A$1:$JV$432,"&lt;"&amp;$C114)-SUM(D$7:D113)</f>
        <v>0</v>
      </c>
      <c r="E114">
        <f>COUNTIF(S_x!$A$1:$JV$432,"&gt;"&amp;$C114*-1)-SUM(E$7:E113)</f>
        <v>0</v>
      </c>
      <c r="F114">
        <f>COUNTIF(E_y!$A$1:$JV$432,"&lt;"&amp;$C114)-SUM(F$7:F113)</f>
        <v>0</v>
      </c>
      <c r="G114">
        <f>COUNTIF(W_y!$A$1:$JV$432,"&gt;"&amp;$C114*-1)-SUM(G$7:G113)</f>
        <v>0</v>
      </c>
    </row>
    <row r="115" spans="1:7" x14ac:dyDescent="0.15">
      <c r="A115" t="str">
        <f t="shared" si="4"/>
        <v>2.12-2.14</v>
      </c>
      <c r="B115">
        <f t="shared" si="5"/>
        <v>2.1200000000000014</v>
      </c>
      <c r="C115">
        <f t="shared" si="3"/>
        <v>2.1400000000000015</v>
      </c>
      <c r="D115">
        <f>COUNTIF(N_x!$A$1:$JV$432,"&lt;"&amp;$C115)-SUM(D$7:D114)</f>
        <v>0</v>
      </c>
      <c r="E115">
        <f>COUNTIF(S_x!$A$1:$JV$432,"&gt;"&amp;$C115*-1)-SUM(E$7:E114)</f>
        <v>0</v>
      </c>
      <c r="F115">
        <f>COUNTIF(E_y!$A$1:$JV$432,"&lt;"&amp;$C115)-SUM(F$7:F114)</f>
        <v>0</v>
      </c>
      <c r="G115">
        <f>COUNTIF(W_y!$A$1:$JV$432,"&gt;"&amp;$C115*-1)-SUM(G$7:G114)</f>
        <v>0</v>
      </c>
    </row>
    <row r="116" spans="1:7" x14ac:dyDescent="0.15">
      <c r="A116" t="str">
        <f t="shared" si="4"/>
        <v>2.14-2.16</v>
      </c>
      <c r="B116">
        <f t="shared" si="5"/>
        <v>2.1400000000000015</v>
      </c>
      <c r="C116">
        <f t="shared" si="3"/>
        <v>2.1600000000000015</v>
      </c>
      <c r="D116">
        <f>COUNTIF(N_x!$A$1:$JV$432,"&lt;"&amp;$C116)-SUM(D$7:D115)</f>
        <v>0</v>
      </c>
      <c r="E116">
        <f>COUNTIF(S_x!$A$1:$JV$432,"&gt;"&amp;$C116*-1)-SUM(E$7:E115)</f>
        <v>0</v>
      </c>
      <c r="F116">
        <f>COUNTIF(E_y!$A$1:$JV$432,"&lt;"&amp;$C116)-SUM(F$7:F115)</f>
        <v>0</v>
      </c>
      <c r="G116">
        <f>COUNTIF(W_y!$A$1:$JV$432,"&gt;"&amp;$C116*-1)-SUM(G$7:G115)</f>
        <v>0</v>
      </c>
    </row>
    <row r="117" spans="1:7" x14ac:dyDescent="0.15">
      <c r="A117" t="str">
        <f t="shared" si="4"/>
        <v>2.16-2.18</v>
      </c>
      <c r="B117">
        <f t="shared" si="5"/>
        <v>2.1600000000000015</v>
      </c>
      <c r="C117">
        <f t="shared" si="3"/>
        <v>2.1800000000000015</v>
      </c>
      <c r="D117">
        <f>COUNTIF(N_x!$A$1:$JV$432,"&lt;"&amp;$C117)-SUM(D$7:D116)</f>
        <v>0</v>
      </c>
      <c r="E117">
        <f>COUNTIF(S_x!$A$1:$JV$432,"&gt;"&amp;$C117*-1)-SUM(E$7:E116)</f>
        <v>0</v>
      </c>
      <c r="F117">
        <f>COUNTIF(E_y!$A$1:$JV$432,"&lt;"&amp;$C117)-SUM(F$7:F116)</f>
        <v>0</v>
      </c>
      <c r="G117">
        <f>COUNTIF(W_y!$A$1:$JV$432,"&gt;"&amp;$C117*-1)-SUM(G$7:G116)</f>
        <v>0</v>
      </c>
    </row>
    <row r="118" spans="1:7" x14ac:dyDescent="0.15">
      <c r="A118" t="str">
        <f t="shared" si="4"/>
        <v>2.18-2.2</v>
      </c>
      <c r="B118">
        <f t="shared" si="5"/>
        <v>2.1800000000000015</v>
      </c>
      <c r="C118">
        <f t="shared" si="3"/>
        <v>2.2000000000000015</v>
      </c>
      <c r="D118">
        <f>COUNTIF(N_x!$A$1:$JV$432,"&lt;"&amp;$C118)-SUM(D$7:D117)</f>
        <v>0</v>
      </c>
      <c r="E118">
        <f>COUNTIF(S_x!$A$1:$JV$432,"&gt;"&amp;$C118*-1)-SUM(E$7:E117)</f>
        <v>0</v>
      </c>
      <c r="F118">
        <f>COUNTIF(E_y!$A$1:$JV$432,"&lt;"&amp;$C118)-SUM(F$7:F117)</f>
        <v>0</v>
      </c>
      <c r="G118">
        <f>COUNTIF(W_y!$A$1:$JV$432,"&gt;"&amp;$C118*-1)-SUM(G$7:G117)</f>
        <v>0</v>
      </c>
    </row>
    <row r="119" spans="1:7" x14ac:dyDescent="0.15">
      <c r="A119" t="str">
        <f t="shared" si="4"/>
        <v>2.2-2.22</v>
      </c>
      <c r="B119">
        <f t="shared" si="5"/>
        <v>2.2000000000000015</v>
      </c>
      <c r="C119">
        <f t="shared" si="3"/>
        <v>2.2200000000000015</v>
      </c>
      <c r="D119">
        <f>COUNTIF(N_x!$A$1:$JV$432,"&lt;"&amp;$C119)-SUM(D$7:D118)</f>
        <v>0</v>
      </c>
      <c r="E119">
        <f>COUNTIF(S_x!$A$1:$JV$432,"&gt;"&amp;$C119*-1)-SUM(E$7:E118)</f>
        <v>0</v>
      </c>
      <c r="F119">
        <f>COUNTIF(E_y!$A$1:$JV$432,"&lt;"&amp;$C119)-SUM(F$7:F118)</f>
        <v>0</v>
      </c>
      <c r="G119">
        <f>COUNTIF(W_y!$A$1:$JV$432,"&gt;"&amp;$C119*-1)-SUM(G$7:G118)</f>
        <v>0</v>
      </c>
    </row>
    <row r="120" spans="1:7" x14ac:dyDescent="0.15">
      <c r="A120" t="str">
        <f t="shared" si="4"/>
        <v>2.22-2.24</v>
      </c>
      <c r="B120">
        <f t="shared" si="5"/>
        <v>2.2200000000000015</v>
      </c>
      <c r="C120">
        <f t="shared" si="3"/>
        <v>2.2400000000000015</v>
      </c>
      <c r="D120">
        <f>COUNTIF(N_x!$A$1:$JV$432,"&lt;"&amp;$C120)-SUM(D$7:D119)</f>
        <v>0</v>
      </c>
      <c r="E120">
        <f>COUNTIF(S_x!$A$1:$JV$432,"&gt;"&amp;$C120*-1)-SUM(E$7:E119)</f>
        <v>0</v>
      </c>
      <c r="F120">
        <f>COUNTIF(E_y!$A$1:$JV$432,"&lt;"&amp;$C120)-SUM(F$7:F119)</f>
        <v>0</v>
      </c>
      <c r="G120">
        <f>COUNTIF(W_y!$A$1:$JV$432,"&gt;"&amp;$C120*-1)-SUM(G$7:G119)</f>
        <v>0</v>
      </c>
    </row>
    <row r="121" spans="1:7" x14ac:dyDescent="0.15">
      <c r="A121" t="str">
        <f t="shared" si="4"/>
        <v>2.24-2.26</v>
      </c>
      <c r="B121">
        <f t="shared" si="5"/>
        <v>2.2400000000000015</v>
      </c>
      <c r="C121">
        <f t="shared" si="3"/>
        <v>2.2600000000000016</v>
      </c>
      <c r="D121">
        <f>COUNTIF(N_x!$A$1:$JV$432,"&lt;"&amp;$C121)-SUM(D$7:D120)</f>
        <v>0</v>
      </c>
      <c r="E121">
        <f>COUNTIF(S_x!$A$1:$JV$432,"&gt;"&amp;$C121*-1)-SUM(E$7:E120)</f>
        <v>0</v>
      </c>
      <c r="F121">
        <f>COUNTIF(E_y!$A$1:$JV$432,"&lt;"&amp;$C121)-SUM(F$7:F120)</f>
        <v>0</v>
      </c>
      <c r="G121">
        <f>COUNTIF(W_y!$A$1:$JV$432,"&gt;"&amp;$C121*-1)-SUM(G$7:G120)</f>
        <v>0</v>
      </c>
    </row>
    <row r="122" spans="1:7" x14ac:dyDescent="0.15">
      <c r="A122" t="str">
        <f t="shared" si="4"/>
        <v>2.26-2.28</v>
      </c>
      <c r="B122">
        <f t="shared" si="5"/>
        <v>2.2600000000000016</v>
      </c>
      <c r="C122">
        <f t="shared" si="3"/>
        <v>2.2800000000000016</v>
      </c>
      <c r="D122">
        <f>COUNTIF(N_x!$A$1:$JV$432,"&lt;"&amp;$C122)-SUM(D$7:D121)</f>
        <v>0</v>
      </c>
      <c r="E122">
        <f>COUNTIF(S_x!$A$1:$JV$432,"&gt;"&amp;$C122*-1)-SUM(E$7:E121)</f>
        <v>0</v>
      </c>
      <c r="F122">
        <f>COUNTIF(E_y!$A$1:$JV$432,"&lt;"&amp;$C122)-SUM(F$7:F121)</f>
        <v>0</v>
      </c>
      <c r="G122">
        <f>COUNTIF(W_y!$A$1:$JV$432,"&gt;"&amp;$C122*-1)-SUM(G$7:G121)</f>
        <v>0</v>
      </c>
    </row>
    <row r="123" spans="1:7" x14ac:dyDescent="0.15">
      <c r="A123" t="str">
        <f t="shared" si="4"/>
        <v>2.28-2.3</v>
      </c>
      <c r="B123">
        <f t="shared" si="5"/>
        <v>2.2800000000000016</v>
      </c>
      <c r="C123">
        <f t="shared" si="3"/>
        <v>2.3000000000000016</v>
      </c>
      <c r="D123">
        <f>COUNTIF(N_x!$A$1:$JV$432,"&lt;"&amp;$C123)-SUM(D$7:D122)</f>
        <v>0</v>
      </c>
      <c r="E123">
        <f>COUNTIF(S_x!$A$1:$JV$432,"&gt;"&amp;$C123*-1)-SUM(E$7:E122)</f>
        <v>0</v>
      </c>
      <c r="F123">
        <f>COUNTIF(E_y!$A$1:$JV$432,"&lt;"&amp;$C123)-SUM(F$7:F122)</f>
        <v>0</v>
      </c>
      <c r="G123">
        <f>COUNTIF(W_y!$A$1:$JV$432,"&gt;"&amp;$C123*-1)-SUM(G$7:G122)</f>
        <v>0</v>
      </c>
    </row>
    <row r="124" spans="1:7" x14ac:dyDescent="0.15">
      <c r="A124" t="str">
        <f t="shared" si="4"/>
        <v>2.3-2.32</v>
      </c>
      <c r="B124">
        <f t="shared" si="5"/>
        <v>2.3000000000000016</v>
      </c>
      <c r="C124">
        <f t="shared" si="3"/>
        <v>2.3200000000000016</v>
      </c>
      <c r="D124">
        <f>COUNTIF(N_x!$A$1:$JV$432,"&lt;"&amp;$C124)-SUM(D$7:D123)</f>
        <v>0</v>
      </c>
      <c r="E124">
        <f>COUNTIF(S_x!$A$1:$JV$432,"&gt;"&amp;$C124*-1)-SUM(E$7:E123)</f>
        <v>0</v>
      </c>
      <c r="F124">
        <f>COUNTIF(E_y!$A$1:$JV$432,"&lt;"&amp;$C124)-SUM(F$7:F123)</f>
        <v>0</v>
      </c>
      <c r="G124">
        <f>COUNTIF(W_y!$A$1:$JV$432,"&gt;"&amp;$C124*-1)-SUM(G$7:G123)</f>
        <v>0</v>
      </c>
    </row>
    <row r="125" spans="1:7" x14ac:dyDescent="0.15">
      <c r="A125" t="str">
        <f t="shared" si="4"/>
        <v>2.32-2.34</v>
      </c>
      <c r="B125">
        <f t="shared" si="5"/>
        <v>2.3200000000000016</v>
      </c>
      <c r="C125">
        <f t="shared" si="3"/>
        <v>2.3400000000000016</v>
      </c>
      <c r="D125">
        <f>COUNTIF(N_x!$A$1:$JV$432,"&lt;"&amp;$C125)-SUM(D$7:D124)</f>
        <v>0</v>
      </c>
      <c r="E125">
        <f>COUNTIF(S_x!$A$1:$JV$432,"&gt;"&amp;$C125*-1)-SUM(E$7:E124)</f>
        <v>0</v>
      </c>
      <c r="F125">
        <f>COUNTIF(E_y!$A$1:$JV$432,"&lt;"&amp;$C125)-SUM(F$7:F124)</f>
        <v>0</v>
      </c>
      <c r="G125">
        <f>COUNTIF(W_y!$A$1:$JV$432,"&gt;"&amp;$C125*-1)-SUM(G$7:G124)</f>
        <v>0</v>
      </c>
    </row>
    <row r="126" spans="1:7" x14ac:dyDescent="0.15">
      <c r="A126" t="str">
        <f t="shared" si="4"/>
        <v>2.34-2.36</v>
      </c>
      <c r="B126">
        <f t="shared" si="5"/>
        <v>2.3400000000000016</v>
      </c>
      <c r="C126">
        <f t="shared" si="3"/>
        <v>2.3600000000000017</v>
      </c>
      <c r="D126">
        <f>COUNTIF(N_x!$A$1:$JV$432,"&lt;"&amp;$C126)-SUM(D$7:D125)</f>
        <v>0</v>
      </c>
      <c r="E126">
        <f>COUNTIF(S_x!$A$1:$JV$432,"&gt;"&amp;$C126*-1)-SUM(E$7:E125)</f>
        <v>0</v>
      </c>
      <c r="F126">
        <f>COUNTIF(E_y!$A$1:$JV$432,"&lt;"&amp;$C126)-SUM(F$7:F125)</f>
        <v>0</v>
      </c>
      <c r="G126">
        <f>COUNTIF(W_y!$A$1:$JV$432,"&gt;"&amp;$C126*-1)-SUM(G$7:G125)</f>
        <v>0</v>
      </c>
    </row>
    <row r="127" spans="1:7" x14ac:dyDescent="0.15">
      <c r="A127" t="str">
        <f t="shared" si="4"/>
        <v>2.36-2.38</v>
      </c>
      <c r="B127">
        <f t="shared" si="5"/>
        <v>2.3600000000000017</v>
      </c>
      <c r="C127">
        <f t="shared" si="3"/>
        <v>2.3800000000000017</v>
      </c>
      <c r="D127">
        <f>COUNTIF(N_x!$A$1:$JV$432,"&lt;"&amp;$C127)-SUM(D$7:D126)</f>
        <v>0</v>
      </c>
      <c r="E127">
        <f>COUNTIF(S_x!$A$1:$JV$432,"&gt;"&amp;$C127*-1)-SUM(E$7:E126)</f>
        <v>0</v>
      </c>
      <c r="F127">
        <f>COUNTIF(E_y!$A$1:$JV$432,"&lt;"&amp;$C127)-SUM(F$7:F126)</f>
        <v>0</v>
      </c>
      <c r="G127">
        <f>COUNTIF(W_y!$A$1:$JV$432,"&gt;"&amp;$C127*-1)-SUM(G$7:G126)</f>
        <v>0</v>
      </c>
    </row>
    <row r="128" spans="1:7" x14ac:dyDescent="0.15">
      <c r="A128" t="str">
        <f t="shared" si="4"/>
        <v>2.38-2.4</v>
      </c>
      <c r="B128">
        <f t="shared" si="5"/>
        <v>2.3800000000000017</v>
      </c>
      <c r="C128">
        <f t="shared" si="3"/>
        <v>2.4000000000000017</v>
      </c>
      <c r="D128">
        <f>COUNTIF(N_x!$A$1:$JV$432,"&lt;"&amp;$C128)-SUM(D$7:D127)</f>
        <v>0</v>
      </c>
      <c r="E128">
        <f>COUNTIF(S_x!$A$1:$JV$432,"&gt;"&amp;$C128*-1)-SUM(E$7:E127)</f>
        <v>0</v>
      </c>
      <c r="F128">
        <f>COUNTIF(E_y!$A$1:$JV$432,"&lt;"&amp;$C128)-SUM(F$7:F127)</f>
        <v>0</v>
      </c>
      <c r="G128">
        <f>COUNTIF(W_y!$A$1:$JV$432,"&gt;"&amp;$C128*-1)-SUM(G$7:G127)</f>
        <v>0</v>
      </c>
    </row>
    <row r="129" spans="1:7" x14ac:dyDescent="0.15">
      <c r="A129" t="str">
        <f t="shared" si="4"/>
        <v>2.4-2.42</v>
      </c>
      <c r="B129">
        <f t="shared" si="5"/>
        <v>2.4000000000000017</v>
      </c>
      <c r="C129">
        <f t="shared" si="3"/>
        <v>2.4200000000000017</v>
      </c>
      <c r="D129">
        <f>COUNTIF(N_x!$A$1:$JV$432,"&lt;"&amp;$C129)-SUM(D$7:D128)</f>
        <v>0</v>
      </c>
      <c r="E129">
        <f>COUNTIF(S_x!$A$1:$JV$432,"&gt;"&amp;$C129*-1)-SUM(E$7:E128)</f>
        <v>0</v>
      </c>
      <c r="F129">
        <f>COUNTIF(E_y!$A$1:$JV$432,"&lt;"&amp;$C129)-SUM(F$7:F128)</f>
        <v>0</v>
      </c>
      <c r="G129">
        <f>COUNTIF(W_y!$A$1:$JV$432,"&gt;"&amp;$C129*-1)-SUM(G$7:G128)</f>
        <v>0</v>
      </c>
    </row>
    <row r="130" spans="1:7" x14ac:dyDescent="0.15">
      <c r="A130" t="str">
        <f t="shared" si="4"/>
        <v>2.42-2.44</v>
      </c>
      <c r="B130">
        <f t="shared" si="5"/>
        <v>2.4200000000000017</v>
      </c>
      <c r="C130">
        <f t="shared" si="3"/>
        <v>2.4400000000000017</v>
      </c>
      <c r="D130">
        <f>COUNTIF(N_x!$A$1:$JV$432,"&lt;"&amp;$C130)-SUM(D$7:D129)</f>
        <v>0</v>
      </c>
      <c r="E130">
        <f>COUNTIF(S_x!$A$1:$JV$432,"&gt;"&amp;$C130*-1)-SUM(E$7:E129)</f>
        <v>0</v>
      </c>
      <c r="F130">
        <f>COUNTIF(E_y!$A$1:$JV$432,"&lt;"&amp;$C130)-SUM(F$7:F129)</f>
        <v>0</v>
      </c>
      <c r="G130">
        <f>COUNTIF(W_y!$A$1:$JV$432,"&gt;"&amp;$C130*-1)-SUM(G$7:G129)</f>
        <v>0</v>
      </c>
    </row>
    <row r="131" spans="1:7" x14ac:dyDescent="0.15">
      <c r="A131" t="str">
        <f t="shared" si="4"/>
        <v>2.44-2.46</v>
      </c>
      <c r="B131">
        <f t="shared" si="5"/>
        <v>2.4400000000000017</v>
      </c>
      <c r="C131">
        <f t="shared" si="3"/>
        <v>2.4600000000000017</v>
      </c>
      <c r="D131">
        <f>COUNTIF(N_x!$A$1:$JV$432,"&lt;"&amp;$C131)-SUM(D$7:D130)</f>
        <v>0</v>
      </c>
      <c r="E131">
        <f>COUNTIF(S_x!$A$1:$JV$432,"&gt;"&amp;$C131*-1)-SUM(E$7:E130)</f>
        <v>0</v>
      </c>
      <c r="F131">
        <f>COUNTIF(E_y!$A$1:$JV$432,"&lt;"&amp;$C131)-SUM(F$7:F130)</f>
        <v>0</v>
      </c>
      <c r="G131">
        <f>COUNTIF(W_y!$A$1:$JV$432,"&gt;"&amp;$C131*-1)-SUM(G$7:G130)</f>
        <v>0</v>
      </c>
    </row>
    <row r="132" spans="1:7" x14ac:dyDescent="0.15">
      <c r="A132" t="str">
        <f t="shared" si="4"/>
        <v>2.46-2.48</v>
      </c>
      <c r="B132">
        <f t="shared" si="5"/>
        <v>2.4600000000000017</v>
      </c>
      <c r="C132">
        <f t="shared" si="3"/>
        <v>2.4800000000000018</v>
      </c>
      <c r="D132">
        <f>COUNTIF(N_x!$A$1:$JV$432,"&lt;"&amp;$C132)-SUM(D$7:D131)</f>
        <v>0</v>
      </c>
      <c r="E132">
        <f>COUNTIF(S_x!$A$1:$JV$432,"&gt;"&amp;$C132*-1)-SUM(E$7:E131)</f>
        <v>0</v>
      </c>
      <c r="F132">
        <f>COUNTIF(E_y!$A$1:$JV$432,"&lt;"&amp;$C132)-SUM(F$7:F131)</f>
        <v>0</v>
      </c>
      <c r="G132">
        <f>COUNTIF(W_y!$A$1:$JV$432,"&gt;"&amp;$C132*-1)-SUM(G$7:G131)</f>
        <v>0</v>
      </c>
    </row>
    <row r="133" spans="1:7" x14ac:dyDescent="0.15">
      <c r="A133" t="str">
        <f t="shared" si="4"/>
        <v>2.48-2.5</v>
      </c>
      <c r="B133">
        <f t="shared" si="5"/>
        <v>2.4800000000000018</v>
      </c>
      <c r="C133">
        <f t="shared" si="3"/>
        <v>2.5000000000000018</v>
      </c>
      <c r="D133">
        <f>COUNTIF(N_x!$A$1:$JV$432,"&lt;"&amp;$C133)-SUM(D$7:D132)</f>
        <v>0</v>
      </c>
      <c r="E133">
        <f>COUNTIF(S_x!$A$1:$JV$432,"&gt;"&amp;$C133*-1)-SUM(E$7:E132)</f>
        <v>0</v>
      </c>
      <c r="F133">
        <f>COUNTIF(E_y!$A$1:$JV$432,"&lt;"&amp;$C133)-SUM(F$7:F132)</f>
        <v>0</v>
      </c>
      <c r="G133">
        <f>COUNTIF(W_y!$A$1:$JV$432,"&gt;"&amp;$C133*-1)-SUM(G$7:G132)</f>
        <v>0</v>
      </c>
    </row>
    <row r="134" spans="1:7" x14ac:dyDescent="0.15">
      <c r="A134" t="str">
        <f t="shared" si="4"/>
        <v>2.5-2.52</v>
      </c>
      <c r="B134">
        <f t="shared" si="5"/>
        <v>2.5000000000000018</v>
      </c>
      <c r="C134">
        <f t="shared" si="3"/>
        <v>2.5200000000000018</v>
      </c>
      <c r="D134">
        <f>COUNTIF(N_x!$A$1:$JV$432,"&lt;"&amp;$C134)-SUM(D$7:D133)</f>
        <v>0</v>
      </c>
      <c r="E134">
        <f>COUNTIF(S_x!$A$1:$JV$432,"&gt;"&amp;$C134*-1)-SUM(E$7:E133)</f>
        <v>0</v>
      </c>
      <c r="F134">
        <f>COUNTIF(E_y!$A$1:$JV$432,"&lt;"&amp;$C134)-SUM(F$7:F133)</f>
        <v>0</v>
      </c>
      <c r="G134">
        <f>COUNTIF(W_y!$A$1:$JV$432,"&gt;"&amp;$C134*-1)-SUM(G$7:G133)</f>
        <v>0</v>
      </c>
    </row>
    <row r="135" spans="1:7" x14ac:dyDescent="0.15">
      <c r="A135" t="str">
        <f t="shared" si="4"/>
        <v>2.52-2.54</v>
      </c>
      <c r="B135">
        <f t="shared" si="5"/>
        <v>2.5200000000000018</v>
      </c>
      <c r="C135">
        <f t="shared" si="3"/>
        <v>2.5400000000000018</v>
      </c>
      <c r="D135">
        <f>COUNTIF(N_x!$A$1:$JV$432,"&lt;"&amp;$C135)-SUM(D$7:D134)</f>
        <v>0</v>
      </c>
      <c r="E135">
        <f>COUNTIF(S_x!$A$1:$JV$432,"&gt;"&amp;$C135*-1)-SUM(E$7:E134)</f>
        <v>0</v>
      </c>
      <c r="F135">
        <f>COUNTIF(E_y!$A$1:$JV$432,"&lt;"&amp;$C135)-SUM(F$7:F134)</f>
        <v>0</v>
      </c>
      <c r="G135">
        <f>COUNTIF(W_y!$A$1:$JV$432,"&gt;"&amp;$C135*-1)-SUM(G$7:G134)</f>
        <v>0</v>
      </c>
    </row>
    <row r="136" spans="1:7" x14ac:dyDescent="0.15">
      <c r="A136" t="str">
        <f t="shared" si="4"/>
        <v>2.54-2.56</v>
      </c>
      <c r="B136">
        <f t="shared" si="5"/>
        <v>2.5400000000000018</v>
      </c>
      <c r="C136">
        <f t="shared" si="3"/>
        <v>2.5600000000000018</v>
      </c>
      <c r="D136">
        <f>COUNTIF(N_x!$A$1:$JV$432,"&lt;"&amp;$C136)-SUM(D$7:D135)</f>
        <v>0</v>
      </c>
      <c r="E136">
        <f>COUNTIF(S_x!$A$1:$JV$432,"&gt;"&amp;$C136*-1)-SUM(E$7:E135)</f>
        <v>0</v>
      </c>
      <c r="F136">
        <f>COUNTIF(E_y!$A$1:$JV$432,"&lt;"&amp;$C136)-SUM(F$7:F135)</f>
        <v>0</v>
      </c>
      <c r="G136">
        <f>COUNTIF(W_y!$A$1:$JV$432,"&gt;"&amp;$C136*-1)-SUM(G$7:G135)</f>
        <v>0</v>
      </c>
    </row>
    <row r="137" spans="1:7" x14ac:dyDescent="0.15">
      <c r="A137" t="str">
        <f t="shared" si="4"/>
        <v>2.56-2.58</v>
      </c>
      <c r="B137">
        <f t="shared" si="5"/>
        <v>2.5600000000000018</v>
      </c>
      <c r="C137">
        <f t="shared" ref="C137:C200" si="6">B137+$A$5</f>
        <v>2.5800000000000018</v>
      </c>
      <c r="D137">
        <f>COUNTIF(N_x!$A$1:$JV$432,"&lt;"&amp;$C137)-SUM(D$7:D136)</f>
        <v>0</v>
      </c>
      <c r="E137">
        <f>COUNTIF(S_x!$A$1:$JV$432,"&gt;"&amp;$C137*-1)-SUM(E$7:E136)</f>
        <v>0</v>
      </c>
      <c r="F137">
        <f>COUNTIF(E_y!$A$1:$JV$432,"&lt;"&amp;$C137)-SUM(F$7:F136)</f>
        <v>0</v>
      </c>
      <c r="G137">
        <f>COUNTIF(W_y!$A$1:$JV$432,"&gt;"&amp;$C137*-1)-SUM(G$7:G136)</f>
        <v>0</v>
      </c>
    </row>
    <row r="138" spans="1:7" x14ac:dyDescent="0.15">
      <c r="A138" t="str">
        <f t="shared" ref="A138:A201" si="7">B138&amp;"-"&amp;C138</f>
        <v>2.58-2.6</v>
      </c>
      <c r="B138">
        <f t="shared" ref="B138:B201" si="8">C137</f>
        <v>2.5800000000000018</v>
      </c>
      <c r="C138">
        <f t="shared" si="6"/>
        <v>2.6000000000000019</v>
      </c>
      <c r="D138">
        <f>COUNTIF(N_x!$A$1:$JV$432,"&lt;"&amp;$C138)-SUM(D$7:D137)</f>
        <v>0</v>
      </c>
      <c r="E138">
        <f>COUNTIF(S_x!$A$1:$JV$432,"&gt;"&amp;$C138*-1)-SUM(E$7:E137)</f>
        <v>0</v>
      </c>
      <c r="F138">
        <f>COUNTIF(E_y!$A$1:$JV$432,"&lt;"&amp;$C138)-SUM(F$7:F137)</f>
        <v>0</v>
      </c>
      <c r="G138">
        <f>COUNTIF(W_y!$A$1:$JV$432,"&gt;"&amp;$C138*-1)-SUM(G$7:G137)</f>
        <v>0</v>
      </c>
    </row>
    <row r="139" spans="1:7" x14ac:dyDescent="0.15">
      <c r="A139" t="str">
        <f t="shared" si="7"/>
        <v>2.6-2.62</v>
      </c>
      <c r="B139">
        <f t="shared" si="8"/>
        <v>2.6000000000000019</v>
      </c>
      <c r="C139">
        <f t="shared" si="6"/>
        <v>2.6200000000000019</v>
      </c>
      <c r="D139">
        <f>COUNTIF(N_x!$A$1:$JV$432,"&lt;"&amp;$C139)-SUM(D$7:D138)</f>
        <v>0</v>
      </c>
      <c r="E139">
        <f>COUNTIF(S_x!$A$1:$JV$432,"&gt;"&amp;$C139*-1)-SUM(E$7:E138)</f>
        <v>0</v>
      </c>
      <c r="F139">
        <f>COUNTIF(E_y!$A$1:$JV$432,"&lt;"&amp;$C139)-SUM(F$7:F138)</f>
        <v>0</v>
      </c>
      <c r="G139">
        <f>COUNTIF(W_y!$A$1:$JV$432,"&gt;"&amp;$C139*-1)-SUM(G$7:G138)</f>
        <v>0</v>
      </c>
    </row>
    <row r="140" spans="1:7" x14ac:dyDescent="0.15">
      <c r="A140" t="str">
        <f t="shared" si="7"/>
        <v>2.62-2.64</v>
      </c>
      <c r="B140">
        <f t="shared" si="8"/>
        <v>2.6200000000000019</v>
      </c>
      <c r="C140">
        <f t="shared" si="6"/>
        <v>2.6400000000000019</v>
      </c>
      <c r="D140">
        <f>COUNTIF(N_x!$A$1:$JV$432,"&lt;"&amp;$C140)-SUM(D$7:D139)</f>
        <v>0</v>
      </c>
      <c r="E140">
        <f>COUNTIF(S_x!$A$1:$JV$432,"&gt;"&amp;$C140*-1)-SUM(E$7:E139)</f>
        <v>0</v>
      </c>
      <c r="F140">
        <f>COUNTIF(E_y!$A$1:$JV$432,"&lt;"&amp;$C140)-SUM(F$7:F139)</f>
        <v>0</v>
      </c>
      <c r="G140">
        <f>COUNTIF(W_y!$A$1:$JV$432,"&gt;"&amp;$C140*-1)-SUM(G$7:G139)</f>
        <v>0</v>
      </c>
    </row>
    <row r="141" spans="1:7" x14ac:dyDescent="0.15">
      <c r="A141" t="str">
        <f t="shared" si="7"/>
        <v>2.64-2.66</v>
      </c>
      <c r="B141">
        <f t="shared" si="8"/>
        <v>2.6400000000000019</v>
      </c>
      <c r="C141">
        <f t="shared" si="6"/>
        <v>2.6600000000000019</v>
      </c>
      <c r="D141">
        <f>COUNTIF(N_x!$A$1:$JV$432,"&lt;"&amp;$C141)-SUM(D$7:D140)</f>
        <v>0</v>
      </c>
      <c r="E141">
        <f>COUNTIF(S_x!$A$1:$JV$432,"&gt;"&amp;$C141*-1)-SUM(E$7:E140)</f>
        <v>0</v>
      </c>
      <c r="F141">
        <f>COUNTIF(E_y!$A$1:$JV$432,"&lt;"&amp;$C141)-SUM(F$7:F140)</f>
        <v>0</v>
      </c>
      <c r="G141">
        <f>COUNTIF(W_y!$A$1:$JV$432,"&gt;"&amp;$C141*-1)-SUM(G$7:G140)</f>
        <v>0</v>
      </c>
    </row>
    <row r="142" spans="1:7" x14ac:dyDescent="0.15">
      <c r="A142" t="str">
        <f t="shared" si="7"/>
        <v>2.66-2.68</v>
      </c>
      <c r="B142">
        <f t="shared" si="8"/>
        <v>2.6600000000000019</v>
      </c>
      <c r="C142">
        <f t="shared" si="6"/>
        <v>2.6800000000000019</v>
      </c>
      <c r="D142">
        <f>COUNTIF(N_x!$A$1:$JV$432,"&lt;"&amp;$C142)-SUM(D$7:D141)</f>
        <v>0</v>
      </c>
      <c r="E142">
        <f>COUNTIF(S_x!$A$1:$JV$432,"&gt;"&amp;$C142*-1)-SUM(E$7:E141)</f>
        <v>0</v>
      </c>
      <c r="F142">
        <f>COUNTIF(E_y!$A$1:$JV$432,"&lt;"&amp;$C142)-SUM(F$7:F141)</f>
        <v>0</v>
      </c>
      <c r="G142">
        <f>COUNTIF(W_y!$A$1:$JV$432,"&gt;"&amp;$C142*-1)-SUM(G$7:G141)</f>
        <v>0</v>
      </c>
    </row>
    <row r="143" spans="1:7" x14ac:dyDescent="0.15">
      <c r="A143" t="str">
        <f t="shared" si="7"/>
        <v>2.68-2.7</v>
      </c>
      <c r="B143">
        <f t="shared" si="8"/>
        <v>2.6800000000000019</v>
      </c>
      <c r="C143">
        <f t="shared" si="6"/>
        <v>2.700000000000002</v>
      </c>
      <c r="D143">
        <f>COUNTIF(N_x!$A$1:$JV$432,"&lt;"&amp;$C143)-SUM(D$7:D142)</f>
        <v>0</v>
      </c>
      <c r="E143">
        <f>COUNTIF(S_x!$A$1:$JV$432,"&gt;"&amp;$C143*-1)-SUM(E$7:E142)</f>
        <v>0</v>
      </c>
      <c r="F143">
        <f>COUNTIF(E_y!$A$1:$JV$432,"&lt;"&amp;$C143)-SUM(F$7:F142)</f>
        <v>0</v>
      </c>
      <c r="G143">
        <f>COUNTIF(W_y!$A$1:$JV$432,"&gt;"&amp;$C143*-1)-SUM(G$7:G142)</f>
        <v>0</v>
      </c>
    </row>
    <row r="144" spans="1:7" x14ac:dyDescent="0.15">
      <c r="A144" t="str">
        <f t="shared" si="7"/>
        <v>2.7-2.72</v>
      </c>
      <c r="B144">
        <f t="shared" si="8"/>
        <v>2.700000000000002</v>
      </c>
      <c r="C144">
        <f t="shared" si="6"/>
        <v>2.720000000000002</v>
      </c>
      <c r="D144">
        <f>COUNTIF(N_x!$A$1:$JV$432,"&lt;"&amp;$C144)-SUM(D$7:D143)</f>
        <v>0</v>
      </c>
      <c r="E144">
        <f>COUNTIF(S_x!$A$1:$JV$432,"&gt;"&amp;$C144*-1)-SUM(E$7:E143)</f>
        <v>0</v>
      </c>
      <c r="F144">
        <f>COUNTIF(E_y!$A$1:$JV$432,"&lt;"&amp;$C144)-SUM(F$7:F143)</f>
        <v>0</v>
      </c>
      <c r="G144">
        <f>COUNTIF(W_y!$A$1:$JV$432,"&gt;"&amp;$C144*-1)-SUM(G$7:G143)</f>
        <v>0</v>
      </c>
    </row>
    <row r="145" spans="1:7" x14ac:dyDescent="0.15">
      <c r="A145" t="str">
        <f t="shared" si="7"/>
        <v>2.72-2.74</v>
      </c>
      <c r="B145">
        <f t="shared" si="8"/>
        <v>2.720000000000002</v>
      </c>
      <c r="C145">
        <f t="shared" si="6"/>
        <v>2.740000000000002</v>
      </c>
      <c r="D145">
        <f>COUNTIF(N_x!$A$1:$JV$432,"&lt;"&amp;$C145)-SUM(D$7:D144)</f>
        <v>0</v>
      </c>
      <c r="E145">
        <f>COUNTIF(S_x!$A$1:$JV$432,"&gt;"&amp;$C145*-1)-SUM(E$7:E144)</f>
        <v>0</v>
      </c>
      <c r="F145">
        <f>COUNTIF(E_y!$A$1:$JV$432,"&lt;"&amp;$C145)-SUM(F$7:F144)</f>
        <v>0</v>
      </c>
      <c r="G145">
        <f>COUNTIF(W_y!$A$1:$JV$432,"&gt;"&amp;$C145*-1)-SUM(G$7:G144)</f>
        <v>0</v>
      </c>
    </row>
    <row r="146" spans="1:7" x14ac:dyDescent="0.15">
      <c r="A146" t="str">
        <f t="shared" si="7"/>
        <v>2.74-2.76</v>
      </c>
      <c r="B146">
        <f t="shared" si="8"/>
        <v>2.740000000000002</v>
      </c>
      <c r="C146">
        <f t="shared" si="6"/>
        <v>2.760000000000002</v>
      </c>
      <c r="D146">
        <f>COUNTIF(N_x!$A$1:$JV$432,"&lt;"&amp;$C146)-SUM(D$7:D145)</f>
        <v>0</v>
      </c>
      <c r="E146">
        <f>COUNTIF(S_x!$A$1:$JV$432,"&gt;"&amp;$C146*-1)-SUM(E$7:E145)</f>
        <v>0</v>
      </c>
      <c r="F146">
        <f>COUNTIF(E_y!$A$1:$JV$432,"&lt;"&amp;$C146)-SUM(F$7:F145)</f>
        <v>0</v>
      </c>
      <c r="G146">
        <f>COUNTIF(W_y!$A$1:$JV$432,"&gt;"&amp;$C146*-1)-SUM(G$7:G145)</f>
        <v>0</v>
      </c>
    </row>
    <row r="147" spans="1:7" x14ac:dyDescent="0.15">
      <c r="A147" t="str">
        <f t="shared" si="7"/>
        <v>2.76-2.78</v>
      </c>
      <c r="B147">
        <f t="shared" si="8"/>
        <v>2.760000000000002</v>
      </c>
      <c r="C147">
        <f t="shared" si="6"/>
        <v>2.780000000000002</v>
      </c>
      <c r="D147">
        <f>COUNTIF(N_x!$A$1:$JV$432,"&lt;"&amp;$C147)-SUM(D$7:D146)</f>
        <v>0</v>
      </c>
      <c r="E147">
        <f>COUNTIF(S_x!$A$1:$JV$432,"&gt;"&amp;$C147*-1)-SUM(E$7:E146)</f>
        <v>0</v>
      </c>
      <c r="F147">
        <f>COUNTIF(E_y!$A$1:$JV$432,"&lt;"&amp;$C147)-SUM(F$7:F146)</f>
        <v>0</v>
      </c>
      <c r="G147">
        <f>COUNTIF(W_y!$A$1:$JV$432,"&gt;"&amp;$C147*-1)-SUM(G$7:G146)</f>
        <v>0</v>
      </c>
    </row>
    <row r="148" spans="1:7" x14ac:dyDescent="0.15">
      <c r="A148" t="str">
        <f t="shared" si="7"/>
        <v>2.78-2.8</v>
      </c>
      <c r="B148">
        <f t="shared" si="8"/>
        <v>2.780000000000002</v>
      </c>
      <c r="C148">
        <f t="shared" si="6"/>
        <v>2.800000000000002</v>
      </c>
      <c r="D148">
        <f>COUNTIF(N_x!$A$1:$JV$432,"&lt;"&amp;$C148)-SUM(D$7:D147)</f>
        <v>0</v>
      </c>
      <c r="E148">
        <f>COUNTIF(S_x!$A$1:$JV$432,"&gt;"&amp;$C148*-1)-SUM(E$7:E147)</f>
        <v>0</v>
      </c>
      <c r="F148">
        <f>COUNTIF(E_y!$A$1:$JV$432,"&lt;"&amp;$C148)-SUM(F$7:F147)</f>
        <v>0</v>
      </c>
      <c r="G148">
        <f>COUNTIF(W_y!$A$1:$JV$432,"&gt;"&amp;$C148*-1)-SUM(G$7:G147)</f>
        <v>0</v>
      </c>
    </row>
    <row r="149" spans="1:7" x14ac:dyDescent="0.15">
      <c r="A149" t="str">
        <f t="shared" si="7"/>
        <v>2.8-2.82</v>
      </c>
      <c r="B149">
        <f t="shared" si="8"/>
        <v>2.800000000000002</v>
      </c>
      <c r="C149">
        <f t="shared" si="6"/>
        <v>2.8200000000000021</v>
      </c>
      <c r="D149">
        <f>COUNTIF(N_x!$A$1:$JV$432,"&lt;"&amp;$C149)-SUM(D$7:D148)</f>
        <v>0</v>
      </c>
      <c r="E149">
        <f>COUNTIF(S_x!$A$1:$JV$432,"&gt;"&amp;$C149*-1)-SUM(E$7:E148)</f>
        <v>0</v>
      </c>
      <c r="F149">
        <f>COUNTIF(E_y!$A$1:$JV$432,"&lt;"&amp;$C149)-SUM(F$7:F148)</f>
        <v>0</v>
      </c>
      <c r="G149">
        <f>COUNTIF(W_y!$A$1:$JV$432,"&gt;"&amp;$C149*-1)-SUM(G$7:G148)</f>
        <v>0</v>
      </c>
    </row>
    <row r="150" spans="1:7" x14ac:dyDescent="0.15">
      <c r="A150" t="str">
        <f t="shared" si="7"/>
        <v>2.82-2.84</v>
      </c>
      <c r="B150">
        <f t="shared" si="8"/>
        <v>2.8200000000000021</v>
      </c>
      <c r="C150">
        <f t="shared" si="6"/>
        <v>2.8400000000000021</v>
      </c>
      <c r="D150">
        <f>COUNTIF(N_x!$A$1:$JV$432,"&lt;"&amp;$C150)-SUM(D$7:D149)</f>
        <v>0</v>
      </c>
      <c r="E150">
        <f>COUNTIF(S_x!$A$1:$JV$432,"&gt;"&amp;$C150*-1)-SUM(E$7:E149)</f>
        <v>0</v>
      </c>
      <c r="F150">
        <f>COUNTIF(E_y!$A$1:$JV$432,"&lt;"&amp;$C150)-SUM(F$7:F149)</f>
        <v>0</v>
      </c>
      <c r="G150">
        <f>COUNTIF(W_y!$A$1:$JV$432,"&gt;"&amp;$C150*-1)-SUM(G$7:G149)</f>
        <v>0</v>
      </c>
    </row>
    <row r="151" spans="1:7" x14ac:dyDescent="0.15">
      <c r="A151" t="str">
        <f t="shared" si="7"/>
        <v>2.84-2.86</v>
      </c>
      <c r="B151">
        <f t="shared" si="8"/>
        <v>2.8400000000000021</v>
      </c>
      <c r="C151">
        <f t="shared" si="6"/>
        <v>2.8600000000000021</v>
      </c>
      <c r="D151">
        <f>COUNTIF(N_x!$A$1:$JV$432,"&lt;"&amp;$C151)-SUM(D$7:D150)</f>
        <v>0</v>
      </c>
      <c r="E151">
        <f>COUNTIF(S_x!$A$1:$JV$432,"&gt;"&amp;$C151*-1)-SUM(E$7:E150)</f>
        <v>0</v>
      </c>
      <c r="F151">
        <f>COUNTIF(E_y!$A$1:$JV$432,"&lt;"&amp;$C151)-SUM(F$7:F150)</f>
        <v>0</v>
      </c>
      <c r="G151">
        <f>COUNTIF(W_y!$A$1:$JV$432,"&gt;"&amp;$C151*-1)-SUM(G$7:G150)</f>
        <v>0</v>
      </c>
    </row>
    <row r="152" spans="1:7" x14ac:dyDescent="0.15">
      <c r="A152" t="str">
        <f t="shared" si="7"/>
        <v>2.86-2.88</v>
      </c>
      <c r="B152">
        <f t="shared" si="8"/>
        <v>2.8600000000000021</v>
      </c>
      <c r="C152">
        <f t="shared" si="6"/>
        <v>2.8800000000000021</v>
      </c>
      <c r="D152">
        <f>COUNTIF(N_x!$A$1:$JV$432,"&lt;"&amp;$C152)-SUM(D$7:D151)</f>
        <v>0</v>
      </c>
      <c r="E152">
        <f>COUNTIF(S_x!$A$1:$JV$432,"&gt;"&amp;$C152*-1)-SUM(E$7:E151)</f>
        <v>0</v>
      </c>
      <c r="F152">
        <f>COUNTIF(E_y!$A$1:$JV$432,"&lt;"&amp;$C152)-SUM(F$7:F151)</f>
        <v>0</v>
      </c>
      <c r="G152">
        <f>COUNTIF(W_y!$A$1:$JV$432,"&gt;"&amp;$C152*-1)-SUM(G$7:G151)</f>
        <v>0</v>
      </c>
    </row>
    <row r="153" spans="1:7" x14ac:dyDescent="0.15">
      <c r="A153" t="str">
        <f t="shared" si="7"/>
        <v>2.88-2.9</v>
      </c>
      <c r="B153">
        <f t="shared" si="8"/>
        <v>2.8800000000000021</v>
      </c>
      <c r="C153">
        <f t="shared" si="6"/>
        <v>2.9000000000000021</v>
      </c>
      <c r="D153">
        <f>COUNTIF(N_x!$A$1:$JV$432,"&lt;"&amp;$C153)-SUM(D$7:D152)</f>
        <v>0</v>
      </c>
      <c r="E153">
        <f>COUNTIF(S_x!$A$1:$JV$432,"&gt;"&amp;$C153*-1)-SUM(E$7:E152)</f>
        <v>0</v>
      </c>
      <c r="F153">
        <f>COUNTIF(E_y!$A$1:$JV$432,"&lt;"&amp;$C153)-SUM(F$7:F152)</f>
        <v>0</v>
      </c>
      <c r="G153">
        <f>COUNTIF(W_y!$A$1:$JV$432,"&gt;"&amp;$C153*-1)-SUM(G$7:G152)</f>
        <v>0</v>
      </c>
    </row>
    <row r="154" spans="1:7" x14ac:dyDescent="0.15">
      <c r="A154" t="str">
        <f t="shared" si="7"/>
        <v>2.9-2.92</v>
      </c>
      <c r="B154">
        <f t="shared" si="8"/>
        <v>2.9000000000000021</v>
      </c>
      <c r="C154">
        <f t="shared" si="6"/>
        <v>2.9200000000000021</v>
      </c>
      <c r="D154">
        <f>COUNTIF(N_x!$A$1:$JV$432,"&lt;"&amp;$C154)-SUM(D$7:D153)</f>
        <v>0</v>
      </c>
      <c r="E154">
        <f>COUNTIF(S_x!$A$1:$JV$432,"&gt;"&amp;$C154*-1)-SUM(E$7:E153)</f>
        <v>0</v>
      </c>
      <c r="F154">
        <f>COUNTIF(E_y!$A$1:$JV$432,"&lt;"&amp;$C154)-SUM(F$7:F153)</f>
        <v>0</v>
      </c>
      <c r="G154">
        <f>COUNTIF(W_y!$A$1:$JV$432,"&gt;"&amp;$C154*-1)-SUM(G$7:G153)</f>
        <v>0</v>
      </c>
    </row>
    <row r="155" spans="1:7" x14ac:dyDescent="0.15">
      <c r="A155" t="str">
        <f t="shared" si="7"/>
        <v>2.92-2.94</v>
      </c>
      <c r="B155">
        <f t="shared" si="8"/>
        <v>2.9200000000000021</v>
      </c>
      <c r="C155">
        <f t="shared" si="6"/>
        <v>2.9400000000000022</v>
      </c>
      <c r="D155">
        <f>COUNTIF(N_x!$A$1:$JV$432,"&lt;"&amp;$C155)-SUM(D$7:D154)</f>
        <v>0</v>
      </c>
      <c r="E155">
        <f>COUNTIF(S_x!$A$1:$JV$432,"&gt;"&amp;$C155*-1)-SUM(E$7:E154)</f>
        <v>0</v>
      </c>
      <c r="F155">
        <f>COUNTIF(E_y!$A$1:$JV$432,"&lt;"&amp;$C155)-SUM(F$7:F154)</f>
        <v>0</v>
      </c>
      <c r="G155">
        <f>COUNTIF(W_y!$A$1:$JV$432,"&gt;"&amp;$C155*-1)-SUM(G$7:G154)</f>
        <v>0</v>
      </c>
    </row>
    <row r="156" spans="1:7" x14ac:dyDescent="0.15">
      <c r="A156" t="str">
        <f t="shared" si="7"/>
        <v>2.94-2.96</v>
      </c>
      <c r="B156">
        <f t="shared" si="8"/>
        <v>2.9400000000000022</v>
      </c>
      <c r="C156">
        <f t="shared" si="6"/>
        <v>2.9600000000000022</v>
      </c>
      <c r="D156">
        <f>COUNTIF(N_x!$A$1:$JV$432,"&lt;"&amp;$C156)-SUM(D$7:D155)</f>
        <v>0</v>
      </c>
      <c r="E156">
        <f>COUNTIF(S_x!$A$1:$JV$432,"&gt;"&amp;$C156*-1)-SUM(E$7:E155)</f>
        <v>0</v>
      </c>
      <c r="F156">
        <f>COUNTIF(E_y!$A$1:$JV$432,"&lt;"&amp;$C156)-SUM(F$7:F155)</f>
        <v>0</v>
      </c>
      <c r="G156">
        <f>COUNTIF(W_y!$A$1:$JV$432,"&gt;"&amp;$C156*-1)-SUM(G$7:G155)</f>
        <v>0</v>
      </c>
    </row>
    <row r="157" spans="1:7" x14ac:dyDescent="0.15">
      <c r="A157" t="str">
        <f t="shared" si="7"/>
        <v>2.96-2.98</v>
      </c>
      <c r="B157">
        <f t="shared" si="8"/>
        <v>2.9600000000000022</v>
      </c>
      <c r="C157">
        <f t="shared" si="6"/>
        <v>2.9800000000000022</v>
      </c>
      <c r="D157">
        <f>COUNTIF(N_x!$A$1:$JV$432,"&lt;"&amp;$C157)-SUM(D$7:D156)</f>
        <v>0</v>
      </c>
      <c r="E157">
        <f>COUNTIF(S_x!$A$1:$JV$432,"&gt;"&amp;$C157*-1)-SUM(E$7:E156)</f>
        <v>0</v>
      </c>
      <c r="F157">
        <f>COUNTIF(E_y!$A$1:$JV$432,"&lt;"&amp;$C157)-SUM(F$7:F156)</f>
        <v>0</v>
      </c>
      <c r="G157">
        <f>COUNTIF(W_y!$A$1:$JV$432,"&gt;"&amp;$C157*-1)-SUM(G$7:G156)</f>
        <v>0</v>
      </c>
    </row>
    <row r="158" spans="1:7" x14ac:dyDescent="0.15">
      <c r="A158" t="str">
        <f t="shared" si="7"/>
        <v>2.98-3</v>
      </c>
      <c r="B158">
        <f t="shared" si="8"/>
        <v>2.9800000000000022</v>
      </c>
      <c r="C158">
        <f t="shared" si="6"/>
        <v>3.0000000000000022</v>
      </c>
      <c r="D158">
        <f>COUNTIF(N_x!$A$1:$JV$432,"&lt;"&amp;$C158)-SUM(D$7:D157)</f>
        <v>0</v>
      </c>
      <c r="E158">
        <f>COUNTIF(S_x!$A$1:$JV$432,"&gt;"&amp;$C158*-1)-SUM(E$7:E157)</f>
        <v>0</v>
      </c>
      <c r="F158">
        <f>COUNTIF(E_y!$A$1:$JV$432,"&lt;"&amp;$C158)-SUM(F$7:F157)</f>
        <v>0</v>
      </c>
      <c r="G158">
        <f>COUNTIF(W_y!$A$1:$JV$432,"&gt;"&amp;$C158*-1)-SUM(G$7:G157)</f>
        <v>0</v>
      </c>
    </row>
    <row r="159" spans="1:7" x14ac:dyDescent="0.15">
      <c r="A159" t="str">
        <f t="shared" si="7"/>
        <v>3-3.02</v>
      </c>
      <c r="B159">
        <f t="shared" si="8"/>
        <v>3.0000000000000022</v>
      </c>
      <c r="C159">
        <f t="shared" si="6"/>
        <v>3.0200000000000022</v>
      </c>
      <c r="D159">
        <f>COUNTIF(N_x!$A$1:$JV$432,"&lt;"&amp;$C159)-SUM(D$7:D158)</f>
        <v>0</v>
      </c>
      <c r="E159">
        <f>COUNTIF(S_x!$A$1:$JV$432,"&gt;"&amp;$C159*-1)-SUM(E$7:E158)</f>
        <v>0</v>
      </c>
      <c r="F159">
        <f>COUNTIF(E_y!$A$1:$JV$432,"&lt;"&amp;$C159)-SUM(F$7:F158)</f>
        <v>0</v>
      </c>
      <c r="G159">
        <f>COUNTIF(W_y!$A$1:$JV$432,"&gt;"&amp;$C159*-1)-SUM(G$7:G158)</f>
        <v>0</v>
      </c>
    </row>
    <row r="160" spans="1:7" x14ac:dyDescent="0.15">
      <c r="A160" t="str">
        <f t="shared" si="7"/>
        <v>3.02-3.04</v>
      </c>
      <c r="B160">
        <f t="shared" si="8"/>
        <v>3.0200000000000022</v>
      </c>
      <c r="C160">
        <f t="shared" si="6"/>
        <v>3.0400000000000023</v>
      </c>
      <c r="D160">
        <f>COUNTIF(N_x!$A$1:$JV$432,"&lt;"&amp;$C160)-SUM(D$7:D159)</f>
        <v>0</v>
      </c>
      <c r="E160">
        <f>COUNTIF(S_x!$A$1:$JV$432,"&gt;"&amp;$C160*-1)-SUM(E$7:E159)</f>
        <v>0</v>
      </c>
      <c r="F160">
        <f>COUNTIF(E_y!$A$1:$JV$432,"&lt;"&amp;$C160)-SUM(F$7:F159)</f>
        <v>0</v>
      </c>
      <c r="G160">
        <f>COUNTIF(W_y!$A$1:$JV$432,"&gt;"&amp;$C160*-1)-SUM(G$7:G159)</f>
        <v>0</v>
      </c>
    </row>
    <row r="161" spans="1:7" x14ac:dyDescent="0.15">
      <c r="A161" t="str">
        <f t="shared" si="7"/>
        <v>3.04-3.06</v>
      </c>
      <c r="B161">
        <f t="shared" si="8"/>
        <v>3.0400000000000023</v>
      </c>
      <c r="C161">
        <f t="shared" si="6"/>
        <v>3.0600000000000023</v>
      </c>
      <c r="D161">
        <f>COUNTIF(N_x!$A$1:$JV$432,"&lt;"&amp;$C161)-SUM(D$7:D160)</f>
        <v>0</v>
      </c>
      <c r="E161">
        <f>COUNTIF(S_x!$A$1:$JV$432,"&gt;"&amp;$C161*-1)-SUM(E$7:E160)</f>
        <v>0</v>
      </c>
      <c r="F161">
        <f>COUNTIF(E_y!$A$1:$JV$432,"&lt;"&amp;$C161)-SUM(F$7:F160)</f>
        <v>0</v>
      </c>
      <c r="G161">
        <f>COUNTIF(W_y!$A$1:$JV$432,"&gt;"&amp;$C161*-1)-SUM(G$7:G160)</f>
        <v>0</v>
      </c>
    </row>
    <row r="162" spans="1:7" x14ac:dyDescent="0.15">
      <c r="A162" t="str">
        <f t="shared" si="7"/>
        <v>3.06-3.08</v>
      </c>
      <c r="B162">
        <f t="shared" si="8"/>
        <v>3.0600000000000023</v>
      </c>
      <c r="C162">
        <f t="shared" si="6"/>
        <v>3.0800000000000023</v>
      </c>
      <c r="D162">
        <f>COUNTIF(N_x!$A$1:$JV$432,"&lt;"&amp;$C162)-SUM(D$7:D161)</f>
        <v>0</v>
      </c>
      <c r="E162">
        <f>COUNTIF(S_x!$A$1:$JV$432,"&gt;"&amp;$C162*-1)-SUM(E$7:E161)</f>
        <v>0</v>
      </c>
      <c r="F162">
        <f>COUNTIF(E_y!$A$1:$JV$432,"&lt;"&amp;$C162)-SUM(F$7:F161)</f>
        <v>0</v>
      </c>
      <c r="G162">
        <f>COUNTIF(W_y!$A$1:$JV$432,"&gt;"&amp;$C162*-1)-SUM(G$7:G161)</f>
        <v>0</v>
      </c>
    </row>
    <row r="163" spans="1:7" x14ac:dyDescent="0.15">
      <c r="A163" t="str">
        <f t="shared" si="7"/>
        <v>3.08-3.1</v>
      </c>
      <c r="B163">
        <f t="shared" si="8"/>
        <v>3.0800000000000023</v>
      </c>
      <c r="C163">
        <f t="shared" si="6"/>
        <v>3.1000000000000023</v>
      </c>
      <c r="D163">
        <f>COUNTIF(N_x!$A$1:$JV$432,"&lt;"&amp;$C163)-SUM(D$7:D162)</f>
        <v>0</v>
      </c>
      <c r="E163">
        <f>COUNTIF(S_x!$A$1:$JV$432,"&gt;"&amp;$C163*-1)-SUM(E$7:E162)</f>
        <v>0</v>
      </c>
      <c r="F163">
        <f>COUNTIF(E_y!$A$1:$JV$432,"&lt;"&amp;$C163)-SUM(F$7:F162)</f>
        <v>0</v>
      </c>
      <c r="G163">
        <f>COUNTIF(W_y!$A$1:$JV$432,"&gt;"&amp;$C163*-1)-SUM(G$7:G162)</f>
        <v>0</v>
      </c>
    </row>
    <row r="164" spans="1:7" x14ac:dyDescent="0.15">
      <c r="A164" t="str">
        <f t="shared" si="7"/>
        <v>3.1-3.12</v>
      </c>
      <c r="B164">
        <f t="shared" si="8"/>
        <v>3.1000000000000023</v>
      </c>
      <c r="C164">
        <f t="shared" si="6"/>
        <v>3.1200000000000023</v>
      </c>
      <c r="D164">
        <f>COUNTIF(N_x!$A$1:$JV$432,"&lt;"&amp;$C164)-SUM(D$7:D163)</f>
        <v>0</v>
      </c>
      <c r="E164">
        <f>COUNTIF(S_x!$A$1:$JV$432,"&gt;"&amp;$C164*-1)-SUM(E$7:E163)</f>
        <v>0</v>
      </c>
      <c r="F164">
        <f>COUNTIF(E_y!$A$1:$JV$432,"&lt;"&amp;$C164)-SUM(F$7:F163)</f>
        <v>0</v>
      </c>
      <c r="G164">
        <f>COUNTIF(W_y!$A$1:$JV$432,"&gt;"&amp;$C164*-1)-SUM(G$7:G163)</f>
        <v>0</v>
      </c>
    </row>
    <row r="165" spans="1:7" x14ac:dyDescent="0.15">
      <c r="A165" t="str">
        <f t="shared" si="7"/>
        <v>3.12-3.14</v>
      </c>
      <c r="B165">
        <f t="shared" si="8"/>
        <v>3.1200000000000023</v>
      </c>
      <c r="C165">
        <f t="shared" si="6"/>
        <v>3.1400000000000023</v>
      </c>
      <c r="D165">
        <f>COUNTIF(N_x!$A$1:$JV$432,"&lt;"&amp;$C165)-SUM(D$7:D164)</f>
        <v>0</v>
      </c>
      <c r="E165">
        <f>COUNTIF(S_x!$A$1:$JV$432,"&gt;"&amp;$C165*-1)-SUM(E$7:E164)</f>
        <v>0</v>
      </c>
      <c r="F165">
        <f>COUNTIF(E_y!$A$1:$JV$432,"&lt;"&amp;$C165)-SUM(F$7:F164)</f>
        <v>0</v>
      </c>
      <c r="G165">
        <f>COUNTIF(W_y!$A$1:$JV$432,"&gt;"&amp;$C165*-1)-SUM(G$7:G164)</f>
        <v>0</v>
      </c>
    </row>
    <row r="166" spans="1:7" x14ac:dyDescent="0.15">
      <c r="A166" t="str">
        <f t="shared" si="7"/>
        <v>3.14-3.16</v>
      </c>
      <c r="B166">
        <f t="shared" si="8"/>
        <v>3.1400000000000023</v>
      </c>
      <c r="C166">
        <f t="shared" si="6"/>
        <v>3.1600000000000024</v>
      </c>
      <c r="D166">
        <f>COUNTIF(N_x!$A$1:$JV$432,"&lt;"&amp;$C166)-SUM(D$7:D165)</f>
        <v>0</v>
      </c>
      <c r="E166">
        <f>COUNTIF(S_x!$A$1:$JV$432,"&gt;"&amp;$C166*-1)-SUM(E$7:E165)</f>
        <v>0</v>
      </c>
      <c r="F166">
        <f>COUNTIF(E_y!$A$1:$JV$432,"&lt;"&amp;$C166)-SUM(F$7:F165)</f>
        <v>0</v>
      </c>
      <c r="G166">
        <f>COUNTIF(W_y!$A$1:$JV$432,"&gt;"&amp;$C166*-1)-SUM(G$7:G165)</f>
        <v>0</v>
      </c>
    </row>
    <row r="167" spans="1:7" x14ac:dyDescent="0.15">
      <c r="A167" t="str">
        <f t="shared" si="7"/>
        <v>3.16-3.18</v>
      </c>
      <c r="B167">
        <f t="shared" si="8"/>
        <v>3.1600000000000024</v>
      </c>
      <c r="C167">
        <f t="shared" si="6"/>
        <v>3.1800000000000024</v>
      </c>
      <c r="D167">
        <f>COUNTIF(N_x!$A$1:$JV$432,"&lt;"&amp;$C167)-SUM(D$7:D166)</f>
        <v>0</v>
      </c>
      <c r="E167">
        <f>COUNTIF(S_x!$A$1:$JV$432,"&gt;"&amp;$C167*-1)-SUM(E$7:E166)</f>
        <v>0</v>
      </c>
      <c r="F167">
        <f>COUNTIF(E_y!$A$1:$JV$432,"&lt;"&amp;$C167)-SUM(F$7:F166)</f>
        <v>0</v>
      </c>
      <c r="G167">
        <f>COUNTIF(W_y!$A$1:$JV$432,"&gt;"&amp;$C167*-1)-SUM(G$7:G166)</f>
        <v>0</v>
      </c>
    </row>
    <row r="168" spans="1:7" x14ac:dyDescent="0.15">
      <c r="A168" t="str">
        <f t="shared" si="7"/>
        <v>3.18-3.2</v>
      </c>
      <c r="B168">
        <f t="shared" si="8"/>
        <v>3.1800000000000024</v>
      </c>
      <c r="C168">
        <f t="shared" si="6"/>
        <v>3.2000000000000024</v>
      </c>
      <c r="D168">
        <f>COUNTIF(N_x!$A$1:$JV$432,"&lt;"&amp;$C168)-SUM(D$7:D167)</f>
        <v>0</v>
      </c>
      <c r="E168">
        <f>COUNTIF(S_x!$A$1:$JV$432,"&gt;"&amp;$C168*-1)-SUM(E$7:E167)</f>
        <v>0</v>
      </c>
      <c r="F168">
        <f>COUNTIF(E_y!$A$1:$JV$432,"&lt;"&amp;$C168)-SUM(F$7:F167)</f>
        <v>0</v>
      </c>
      <c r="G168">
        <f>COUNTIF(W_y!$A$1:$JV$432,"&gt;"&amp;$C168*-1)-SUM(G$7:G167)</f>
        <v>0</v>
      </c>
    </row>
    <row r="169" spans="1:7" x14ac:dyDescent="0.15">
      <c r="A169" t="str">
        <f t="shared" si="7"/>
        <v>3.2-3.22</v>
      </c>
      <c r="B169">
        <f t="shared" si="8"/>
        <v>3.2000000000000024</v>
      </c>
      <c r="C169">
        <f t="shared" si="6"/>
        <v>3.2200000000000024</v>
      </c>
      <c r="D169">
        <f>COUNTIF(N_x!$A$1:$JV$432,"&lt;"&amp;$C169)-SUM(D$7:D168)</f>
        <v>0</v>
      </c>
      <c r="E169">
        <f>COUNTIF(S_x!$A$1:$JV$432,"&gt;"&amp;$C169*-1)-SUM(E$7:E168)</f>
        <v>0</v>
      </c>
      <c r="F169">
        <f>COUNTIF(E_y!$A$1:$JV$432,"&lt;"&amp;$C169)-SUM(F$7:F168)</f>
        <v>0</v>
      </c>
      <c r="G169">
        <f>COUNTIF(W_y!$A$1:$JV$432,"&gt;"&amp;$C169*-1)-SUM(G$7:G168)</f>
        <v>0</v>
      </c>
    </row>
    <row r="170" spans="1:7" x14ac:dyDescent="0.15">
      <c r="A170" t="str">
        <f t="shared" si="7"/>
        <v>3.22-3.24</v>
      </c>
      <c r="B170">
        <f t="shared" si="8"/>
        <v>3.2200000000000024</v>
      </c>
      <c r="C170">
        <f t="shared" si="6"/>
        <v>3.2400000000000024</v>
      </c>
      <c r="D170">
        <f>COUNTIF(N_x!$A$1:$JV$432,"&lt;"&amp;$C170)-SUM(D$7:D169)</f>
        <v>0</v>
      </c>
      <c r="E170">
        <f>COUNTIF(S_x!$A$1:$JV$432,"&gt;"&amp;$C170*-1)-SUM(E$7:E169)</f>
        <v>0</v>
      </c>
      <c r="F170">
        <f>COUNTIF(E_y!$A$1:$JV$432,"&lt;"&amp;$C170)-SUM(F$7:F169)</f>
        <v>0</v>
      </c>
      <c r="G170">
        <f>COUNTIF(W_y!$A$1:$JV$432,"&gt;"&amp;$C170*-1)-SUM(G$7:G169)</f>
        <v>0</v>
      </c>
    </row>
    <row r="171" spans="1:7" x14ac:dyDescent="0.15">
      <c r="A171" t="str">
        <f t="shared" si="7"/>
        <v>3.24-3.26</v>
      </c>
      <c r="B171">
        <f t="shared" si="8"/>
        <v>3.2400000000000024</v>
      </c>
      <c r="C171">
        <f t="shared" si="6"/>
        <v>3.2600000000000025</v>
      </c>
      <c r="D171">
        <f>COUNTIF(N_x!$A$1:$JV$432,"&lt;"&amp;$C171)-SUM(D$7:D170)</f>
        <v>0</v>
      </c>
      <c r="E171">
        <f>COUNTIF(S_x!$A$1:$JV$432,"&gt;"&amp;$C171*-1)-SUM(E$7:E170)</f>
        <v>0</v>
      </c>
      <c r="F171">
        <f>COUNTIF(E_y!$A$1:$JV$432,"&lt;"&amp;$C171)-SUM(F$7:F170)</f>
        <v>0</v>
      </c>
      <c r="G171">
        <f>COUNTIF(W_y!$A$1:$JV$432,"&gt;"&amp;$C171*-1)-SUM(G$7:G170)</f>
        <v>0</v>
      </c>
    </row>
    <row r="172" spans="1:7" x14ac:dyDescent="0.15">
      <c r="A172" t="str">
        <f t="shared" si="7"/>
        <v>3.26-3.28</v>
      </c>
      <c r="B172">
        <f t="shared" si="8"/>
        <v>3.2600000000000025</v>
      </c>
      <c r="C172">
        <f t="shared" si="6"/>
        <v>3.2800000000000025</v>
      </c>
      <c r="D172">
        <f>COUNTIF(N_x!$A$1:$JV$432,"&lt;"&amp;$C172)-SUM(D$7:D171)</f>
        <v>0</v>
      </c>
      <c r="E172">
        <f>COUNTIF(S_x!$A$1:$JV$432,"&gt;"&amp;$C172*-1)-SUM(E$7:E171)</f>
        <v>0</v>
      </c>
      <c r="F172">
        <f>COUNTIF(E_y!$A$1:$JV$432,"&lt;"&amp;$C172)-SUM(F$7:F171)</f>
        <v>0</v>
      </c>
      <c r="G172">
        <f>COUNTIF(W_y!$A$1:$JV$432,"&gt;"&amp;$C172*-1)-SUM(G$7:G171)</f>
        <v>0</v>
      </c>
    </row>
    <row r="173" spans="1:7" x14ac:dyDescent="0.15">
      <c r="A173" t="str">
        <f t="shared" si="7"/>
        <v>3.28-3.3</v>
      </c>
      <c r="B173">
        <f t="shared" si="8"/>
        <v>3.2800000000000025</v>
      </c>
      <c r="C173">
        <f t="shared" si="6"/>
        <v>3.3000000000000025</v>
      </c>
      <c r="D173">
        <f>COUNTIF(N_x!$A$1:$JV$432,"&lt;"&amp;$C173)-SUM(D$7:D172)</f>
        <v>0</v>
      </c>
      <c r="E173">
        <f>COUNTIF(S_x!$A$1:$JV$432,"&gt;"&amp;$C173*-1)-SUM(E$7:E172)</f>
        <v>0</v>
      </c>
      <c r="F173">
        <f>COUNTIF(E_y!$A$1:$JV$432,"&lt;"&amp;$C173)-SUM(F$7:F172)</f>
        <v>0</v>
      </c>
      <c r="G173">
        <f>COUNTIF(W_y!$A$1:$JV$432,"&gt;"&amp;$C173*-1)-SUM(G$7:G172)</f>
        <v>0</v>
      </c>
    </row>
    <row r="174" spans="1:7" x14ac:dyDescent="0.15">
      <c r="A174" t="str">
        <f t="shared" si="7"/>
        <v>3.3-3.32</v>
      </c>
      <c r="B174">
        <f t="shared" si="8"/>
        <v>3.3000000000000025</v>
      </c>
      <c r="C174">
        <f t="shared" si="6"/>
        <v>3.3200000000000025</v>
      </c>
      <c r="D174">
        <f>COUNTIF(N_x!$A$1:$JV$432,"&lt;"&amp;$C174)-SUM(D$7:D173)</f>
        <v>0</v>
      </c>
      <c r="E174">
        <f>COUNTIF(S_x!$A$1:$JV$432,"&gt;"&amp;$C174*-1)-SUM(E$7:E173)</f>
        <v>0</v>
      </c>
      <c r="F174">
        <f>COUNTIF(E_y!$A$1:$JV$432,"&lt;"&amp;$C174)-SUM(F$7:F173)</f>
        <v>0</v>
      </c>
      <c r="G174">
        <f>COUNTIF(W_y!$A$1:$JV$432,"&gt;"&amp;$C174*-1)-SUM(G$7:G173)</f>
        <v>0</v>
      </c>
    </row>
    <row r="175" spans="1:7" x14ac:dyDescent="0.15">
      <c r="A175" t="str">
        <f t="shared" si="7"/>
        <v>3.32-3.34</v>
      </c>
      <c r="B175">
        <f t="shared" si="8"/>
        <v>3.3200000000000025</v>
      </c>
      <c r="C175">
        <f t="shared" si="6"/>
        <v>3.3400000000000025</v>
      </c>
      <c r="D175">
        <f>COUNTIF(N_x!$A$1:$JV$432,"&lt;"&amp;$C175)-SUM(D$7:D174)</f>
        <v>0</v>
      </c>
      <c r="E175">
        <f>COUNTIF(S_x!$A$1:$JV$432,"&gt;"&amp;$C175*-1)-SUM(E$7:E174)</f>
        <v>0</v>
      </c>
      <c r="F175">
        <f>COUNTIF(E_y!$A$1:$JV$432,"&lt;"&amp;$C175)-SUM(F$7:F174)</f>
        <v>0</v>
      </c>
      <c r="G175">
        <f>COUNTIF(W_y!$A$1:$JV$432,"&gt;"&amp;$C175*-1)-SUM(G$7:G174)</f>
        <v>0</v>
      </c>
    </row>
    <row r="176" spans="1:7" x14ac:dyDescent="0.15">
      <c r="A176" t="str">
        <f t="shared" si="7"/>
        <v>3.34-3.36</v>
      </c>
      <c r="B176">
        <f t="shared" si="8"/>
        <v>3.3400000000000025</v>
      </c>
      <c r="C176">
        <f t="shared" si="6"/>
        <v>3.3600000000000025</v>
      </c>
      <c r="D176">
        <f>COUNTIF(N_x!$A$1:$JV$432,"&lt;"&amp;$C176)-SUM(D$7:D175)</f>
        <v>0</v>
      </c>
      <c r="E176">
        <f>COUNTIF(S_x!$A$1:$JV$432,"&gt;"&amp;$C176*-1)-SUM(E$7:E175)</f>
        <v>0</v>
      </c>
      <c r="F176">
        <f>COUNTIF(E_y!$A$1:$JV$432,"&lt;"&amp;$C176)-SUM(F$7:F175)</f>
        <v>0</v>
      </c>
      <c r="G176">
        <f>COUNTIF(W_y!$A$1:$JV$432,"&gt;"&amp;$C176*-1)-SUM(G$7:G175)</f>
        <v>0</v>
      </c>
    </row>
    <row r="177" spans="1:7" x14ac:dyDescent="0.15">
      <c r="A177" t="str">
        <f t="shared" si="7"/>
        <v>3.36-3.38</v>
      </c>
      <c r="B177">
        <f t="shared" si="8"/>
        <v>3.3600000000000025</v>
      </c>
      <c r="C177">
        <f t="shared" si="6"/>
        <v>3.3800000000000026</v>
      </c>
      <c r="D177">
        <f>COUNTIF(N_x!$A$1:$JV$432,"&lt;"&amp;$C177)-SUM(D$7:D176)</f>
        <v>0</v>
      </c>
      <c r="E177">
        <f>COUNTIF(S_x!$A$1:$JV$432,"&gt;"&amp;$C177*-1)-SUM(E$7:E176)</f>
        <v>0</v>
      </c>
      <c r="F177">
        <f>COUNTIF(E_y!$A$1:$JV$432,"&lt;"&amp;$C177)-SUM(F$7:F176)</f>
        <v>0</v>
      </c>
      <c r="G177">
        <f>COUNTIF(W_y!$A$1:$JV$432,"&gt;"&amp;$C177*-1)-SUM(G$7:G176)</f>
        <v>0</v>
      </c>
    </row>
    <row r="178" spans="1:7" x14ac:dyDescent="0.15">
      <c r="A178" t="str">
        <f t="shared" si="7"/>
        <v>3.38-3.4</v>
      </c>
      <c r="B178">
        <f t="shared" si="8"/>
        <v>3.3800000000000026</v>
      </c>
      <c r="C178">
        <f t="shared" si="6"/>
        <v>3.4000000000000026</v>
      </c>
      <c r="D178">
        <f>COUNTIF(N_x!$A$1:$JV$432,"&lt;"&amp;$C178)-SUM(D$7:D177)</f>
        <v>0</v>
      </c>
      <c r="E178">
        <f>COUNTIF(S_x!$A$1:$JV$432,"&gt;"&amp;$C178*-1)-SUM(E$7:E177)</f>
        <v>0</v>
      </c>
      <c r="F178">
        <f>COUNTIF(E_y!$A$1:$JV$432,"&lt;"&amp;$C178)-SUM(F$7:F177)</f>
        <v>0</v>
      </c>
      <c r="G178">
        <f>COUNTIF(W_y!$A$1:$JV$432,"&gt;"&amp;$C178*-1)-SUM(G$7:G177)</f>
        <v>0</v>
      </c>
    </row>
    <row r="179" spans="1:7" x14ac:dyDescent="0.15">
      <c r="A179" t="str">
        <f t="shared" si="7"/>
        <v>3.4-3.42</v>
      </c>
      <c r="B179">
        <f t="shared" si="8"/>
        <v>3.4000000000000026</v>
      </c>
      <c r="C179">
        <f t="shared" si="6"/>
        <v>3.4200000000000026</v>
      </c>
      <c r="D179">
        <f>COUNTIF(N_x!$A$1:$JV$432,"&lt;"&amp;$C179)-SUM(D$7:D178)</f>
        <v>0</v>
      </c>
      <c r="E179">
        <f>COUNTIF(S_x!$A$1:$JV$432,"&gt;"&amp;$C179*-1)-SUM(E$7:E178)</f>
        <v>0</v>
      </c>
      <c r="F179">
        <f>COUNTIF(E_y!$A$1:$JV$432,"&lt;"&amp;$C179)-SUM(F$7:F178)</f>
        <v>0</v>
      </c>
      <c r="G179">
        <f>COUNTIF(W_y!$A$1:$JV$432,"&gt;"&amp;$C179*-1)-SUM(G$7:G178)</f>
        <v>0</v>
      </c>
    </row>
    <row r="180" spans="1:7" x14ac:dyDescent="0.15">
      <c r="A180" t="str">
        <f t="shared" si="7"/>
        <v>3.42-3.44</v>
      </c>
      <c r="B180">
        <f t="shared" si="8"/>
        <v>3.4200000000000026</v>
      </c>
      <c r="C180">
        <f t="shared" si="6"/>
        <v>3.4400000000000026</v>
      </c>
      <c r="D180">
        <f>COUNTIF(N_x!$A$1:$JV$432,"&lt;"&amp;$C180)-SUM(D$7:D179)</f>
        <v>0</v>
      </c>
      <c r="E180">
        <f>COUNTIF(S_x!$A$1:$JV$432,"&gt;"&amp;$C180*-1)-SUM(E$7:E179)</f>
        <v>0</v>
      </c>
      <c r="F180">
        <f>COUNTIF(E_y!$A$1:$JV$432,"&lt;"&amp;$C180)-SUM(F$7:F179)</f>
        <v>0</v>
      </c>
      <c r="G180">
        <f>COUNTIF(W_y!$A$1:$JV$432,"&gt;"&amp;$C180*-1)-SUM(G$7:G179)</f>
        <v>0</v>
      </c>
    </row>
    <row r="181" spans="1:7" x14ac:dyDescent="0.15">
      <c r="A181" t="str">
        <f t="shared" si="7"/>
        <v>3.44-3.46</v>
      </c>
      <c r="B181">
        <f t="shared" si="8"/>
        <v>3.4400000000000026</v>
      </c>
      <c r="C181">
        <f t="shared" si="6"/>
        <v>3.4600000000000026</v>
      </c>
      <c r="D181">
        <f>COUNTIF(N_x!$A$1:$JV$432,"&lt;"&amp;$C181)-SUM(D$7:D180)</f>
        <v>0</v>
      </c>
      <c r="E181">
        <f>COUNTIF(S_x!$A$1:$JV$432,"&gt;"&amp;$C181*-1)-SUM(E$7:E180)</f>
        <v>0</v>
      </c>
      <c r="F181">
        <f>COUNTIF(E_y!$A$1:$JV$432,"&lt;"&amp;$C181)-SUM(F$7:F180)</f>
        <v>0</v>
      </c>
      <c r="G181">
        <f>COUNTIF(W_y!$A$1:$JV$432,"&gt;"&amp;$C181*-1)-SUM(G$7:G180)</f>
        <v>0</v>
      </c>
    </row>
    <row r="182" spans="1:7" x14ac:dyDescent="0.15">
      <c r="A182" t="str">
        <f t="shared" si="7"/>
        <v>3.46-3.48</v>
      </c>
      <c r="B182">
        <f t="shared" si="8"/>
        <v>3.4600000000000026</v>
      </c>
      <c r="C182">
        <f t="shared" si="6"/>
        <v>3.4800000000000026</v>
      </c>
      <c r="D182">
        <f>COUNTIF(N_x!$A$1:$JV$432,"&lt;"&amp;$C182)-SUM(D$7:D181)</f>
        <v>0</v>
      </c>
      <c r="E182">
        <f>COUNTIF(S_x!$A$1:$JV$432,"&gt;"&amp;$C182*-1)-SUM(E$7:E181)</f>
        <v>0</v>
      </c>
      <c r="F182">
        <f>COUNTIF(E_y!$A$1:$JV$432,"&lt;"&amp;$C182)-SUM(F$7:F181)</f>
        <v>0</v>
      </c>
      <c r="G182">
        <f>COUNTIF(W_y!$A$1:$JV$432,"&gt;"&amp;$C182*-1)-SUM(G$7:G181)</f>
        <v>0</v>
      </c>
    </row>
    <row r="183" spans="1:7" x14ac:dyDescent="0.15">
      <c r="A183" t="str">
        <f t="shared" si="7"/>
        <v>3.48-3.5</v>
      </c>
      <c r="B183">
        <f t="shared" si="8"/>
        <v>3.4800000000000026</v>
      </c>
      <c r="C183">
        <f t="shared" si="6"/>
        <v>3.5000000000000027</v>
      </c>
      <c r="D183">
        <f>COUNTIF(N_x!$A$1:$JV$432,"&lt;"&amp;$C183)-SUM(D$7:D182)</f>
        <v>0</v>
      </c>
      <c r="E183">
        <f>COUNTIF(S_x!$A$1:$JV$432,"&gt;"&amp;$C183*-1)-SUM(E$7:E182)</f>
        <v>0</v>
      </c>
      <c r="F183">
        <f>COUNTIF(E_y!$A$1:$JV$432,"&lt;"&amp;$C183)-SUM(F$7:F182)</f>
        <v>0</v>
      </c>
      <c r="G183">
        <f>COUNTIF(W_y!$A$1:$JV$432,"&gt;"&amp;$C183*-1)-SUM(G$7:G182)</f>
        <v>0</v>
      </c>
    </row>
    <row r="184" spans="1:7" x14ac:dyDescent="0.15">
      <c r="A184" t="str">
        <f t="shared" si="7"/>
        <v>3.5-3.52</v>
      </c>
      <c r="B184">
        <f t="shared" si="8"/>
        <v>3.5000000000000027</v>
      </c>
      <c r="C184">
        <f t="shared" si="6"/>
        <v>3.5200000000000027</v>
      </c>
      <c r="D184">
        <f>COUNTIF(N_x!$A$1:$JV$432,"&lt;"&amp;$C184)-SUM(D$7:D183)</f>
        <v>0</v>
      </c>
      <c r="E184">
        <f>COUNTIF(S_x!$A$1:$JV$432,"&gt;"&amp;$C184*-1)-SUM(E$7:E183)</f>
        <v>0</v>
      </c>
      <c r="F184">
        <f>COUNTIF(E_y!$A$1:$JV$432,"&lt;"&amp;$C184)-SUM(F$7:F183)</f>
        <v>0</v>
      </c>
      <c r="G184">
        <f>COUNTIF(W_y!$A$1:$JV$432,"&gt;"&amp;$C184*-1)-SUM(G$7:G183)</f>
        <v>0</v>
      </c>
    </row>
    <row r="185" spans="1:7" x14ac:dyDescent="0.15">
      <c r="A185" t="str">
        <f t="shared" si="7"/>
        <v>3.52-3.54</v>
      </c>
      <c r="B185">
        <f t="shared" si="8"/>
        <v>3.5200000000000027</v>
      </c>
      <c r="C185">
        <f t="shared" si="6"/>
        <v>3.5400000000000027</v>
      </c>
      <c r="D185">
        <f>COUNTIF(N_x!$A$1:$JV$432,"&lt;"&amp;$C185)-SUM(D$7:D184)</f>
        <v>0</v>
      </c>
      <c r="E185">
        <f>COUNTIF(S_x!$A$1:$JV$432,"&gt;"&amp;$C185*-1)-SUM(E$7:E184)</f>
        <v>0</v>
      </c>
      <c r="F185">
        <f>COUNTIF(E_y!$A$1:$JV$432,"&lt;"&amp;$C185)-SUM(F$7:F184)</f>
        <v>0</v>
      </c>
      <c r="G185">
        <f>COUNTIF(W_y!$A$1:$JV$432,"&gt;"&amp;$C185*-1)-SUM(G$7:G184)</f>
        <v>0</v>
      </c>
    </row>
    <row r="186" spans="1:7" x14ac:dyDescent="0.15">
      <c r="A186" t="str">
        <f t="shared" si="7"/>
        <v>3.54-3.56</v>
      </c>
      <c r="B186">
        <f t="shared" si="8"/>
        <v>3.5400000000000027</v>
      </c>
      <c r="C186">
        <f t="shared" si="6"/>
        <v>3.5600000000000027</v>
      </c>
      <c r="D186">
        <f>COUNTIF(N_x!$A$1:$JV$432,"&lt;"&amp;$C186)-SUM(D$7:D185)</f>
        <v>0</v>
      </c>
      <c r="E186">
        <f>COUNTIF(S_x!$A$1:$JV$432,"&gt;"&amp;$C186*-1)-SUM(E$7:E185)</f>
        <v>0</v>
      </c>
      <c r="F186">
        <f>COUNTIF(E_y!$A$1:$JV$432,"&lt;"&amp;$C186)-SUM(F$7:F185)</f>
        <v>0</v>
      </c>
      <c r="G186">
        <f>COUNTIF(W_y!$A$1:$JV$432,"&gt;"&amp;$C186*-1)-SUM(G$7:G185)</f>
        <v>0</v>
      </c>
    </row>
    <row r="187" spans="1:7" x14ac:dyDescent="0.15">
      <c r="A187" t="str">
        <f t="shared" si="7"/>
        <v>3.56-3.58</v>
      </c>
      <c r="B187">
        <f t="shared" si="8"/>
        <v>3.5600000000000027</v>
      </c>
      <c r="C187">
        <f t="shared" si="6"/>
        <v>3.5800000000000027</v>
      </c>
      <c r="D187">
        <f>COUNTIF(N_x!$A$1:$JV$432,"&lt;"&amp;$C187)-SUM(D$7:D186)</f>
        <v>0</v>
      </c>
      <c r="E187">
        <f>COUNTIF(S_x!$A$1:$JV$432,"&gt;"&amp;$C187*-1)-SUM(E$7:E186)</f>
        <v>0</v>
      </c>
      <c r="F187">
        <f>COUNTIF(E_y!$A$1:$JV$432,"&lt;"&amp;$C187)-SUM(F$7:F186)</f>
        <v>0</v>
      </c>
      <c r="G187">
        <f>COUNTIF(W_y!$A$1:$JV$432,"&gt;"&amp;$C187*-1)-SUM(G$7:G186)</f>
        <v>0</v>
      </c>
    </row>
    <row r="188" spans="1:7" x14ac:dyDescent="0.15">
      <c r="A188" t="str">
        <f t="shared" si="7"/>
        <v>3.58-3.6</v>
      </c>
      <c r="B188">
        <f t="shared" si="8"/>
        <v>3.5800000000000027</v>
      </c>
      <c r="C188">
        <f t="shared" si="6"/>
        <v>3.6000000000000028</v>
      </c>
      <c r="D188">
        <f>COUNTIF(N_x!$A$1:$JV$432,"&lt;"&amp;$C188)-SUM(D$7:D187)</f>
        <v>0</v>
      </c>
      <c r="E188">
        <f>COUNTIF(S_x!$A$1:$JV$432,"&gt;"&amp;$C188*-1)-SUM(E$7:E187)</f>
        <v>0</v>
      </c>
      <c r="F188">
        <f>COUNTIF(E_y!$A$1:$JV$432,"&lt;"&amp;$C188)-SUM(F$7:F187)</f>
        <v>0</v>
      </c>
      <c r="G188">
        <f>COUNTIF(W_y!$A$1:$JV$432,"&gt;"&amp;$C188*-1)-SUM(G$7:G187)</f>
        <v>0</v>
      </c>
    </row>
    <row r="189" spans="1:7" x14ac:dyDescent="0.15">
      <c r="A189" t="str">
        <f t="shared" si="7"/>
        <v>3.6-3.62</v>
      </c>
      <c r="B189">
        <f t="shared" si="8"/>
        <v>3.6000000000000028</v>
      </c>
      <c r="C189">
        <f t="shared" si="6"/>
        <v>3.6200000000000028</v>
      </c>
      <c r="D189">
        <f>COUNTIF(N_x!$A$1:$JV$432,"&lt;"&amp;$C189)-SUM(D$7:D188)</f>
        <v>0</v>
      </c>
      <c r="E189">
        <f>COUNTIF(S_x!$A$1:$JV$432,"&gt;"&amp;$C189*-1)-SUM(E$7:E188)</f>
        <v>0</v>
      </c>
      <c r="F189">
        <f>COUNTIF(E_y!$A$1:$JV$432,"&lt;"&amp;$C189)-SUM(F$7:F188)</f>
        <v>0</v>
      </c>
      <c r="G189">
        <f>COUNTIF(W_y!$A$1:$JV$432,"&gt;"&amp;$C189*-1)-SUM(G$7:G188)</f>
        <v>0</v>
      </c>
    </row>
    <row r="190" spans="1:7" x14ac:dyDescent="0.15">
      <c r="A190" t="str">
        <f t="shared" si="7"/>
        <v>3.62-3.64</v>
      </c>
      <c r="B190">
        <f t="shared" si="8"/>
        <v>3.6200000000000028</v>
      </c>
      <c r="C190">
        <f t="shared" si="6"/>
        <v>3.6400000000000028</v>
      </c>
      <c r="D190">
        <f>COUNTIF(N_x!$A$1:$JV$432,"&lt;"&amp;$C190)-SUM(D$7:D189)</f>
        <v>0</v>
      </c>
      <c r="E190">
        <f>COUNTIF(S_x!$A$1:$JV$432,"&gt;"&amp;$C190*-1)-SUM(E$7:E189)</f>
        <v>0</v>
      </c>
      <c r="F190">
        <f>COUNTIF(E_y!$A$1:$JV$432,"&lt;"&amp;$C190)-SUM(F$7:F189)</f>
        <v>0</v>
      </c>
      <c r="G190">
        <f>COUNTIF(W_y!$A$1:$JV$432,"&gt;"&amp;$C190*-1)-SUM(G$7:G189)</f>
        <v>0</v>
      </c>
    </row>
    <row r="191" spans="1:7" x14ac:dyDescent="0.15">
      <c r="A191" t="str">
        <f t="shared" si="7"/>
        <v>3.64-3.66</v>
      </c>
      <c r="B191">
        <f t="shared" si="8"/>
        <v>3.6400000000000028</v>
      </c>
      <c r="C191">
        <f t="shared" si="6"/>
        <v>3.6600000000000028</v>
      </c>
      <c r="D191">
        <f>COUNTIF(N_x!$A$1:$JV$432,"&lt;"&amp;$C191)-SUM(D$7:D190)</f>
        <v>0</v>
      </c>
      <c r="E191">
        <f>COUNTIF(S_x!$A$1:$JV$432,"&gt;"&amp;$C191*-1)-SUM(E$7:E190)</f>
        <v>0</v>
      </c>
      <c r="F191">
        <f>COUNTIF(E_y!$A$1:$JV$432,"&lt;"&amp;$C191)-SUM(F$7:F190)</f>
        <v>0</v>
      </c>
      <c r="G191">
        <f>COUNTIF(W_y!$A$1:$JV$432,"&gt;"&amp;$C191*-1)-SUM(G$7:G190)</f>
        <v>0</v>
      </c>
    </row>
    <row r="192" spans="1:7" x14ac:dyDescent="0.15">
      <c r="A192" t="str">
        <f t="shared" si="7"/>
        <v>3.66-3.68</v>
      </c>
      <c r="B192">
        <f t="shared" si="8"/>
        <v>3.6600000000000028</v>
      </c>
      <c r="C192">
        <f t="shared" si="6"/>
        <v>3.6800000000000028</v>
      </c>
      <c r="D192">
        <f>COUNTIF(N_x!$A$1:$JV$432,"&lt;"&amp;$C192)-SUM(D$7:D191)</f>
        <v>0</v>
      </c>
      <c r="E192">
        <f>COUNTIF(S_x!$A$1:$JV$432,"&gt;"&amp;$C192*-1)-SUM(E$7:E191)</f>
        <v>0</v>
      </c>
      <c r="F192">
        <f>COUNTIF(E_y!$A$1:$JV$432,"&lt;"&amp;$C192)-SUM(F$7:F191)</f>
        <v>0</v>
      </c>
      <c r="G192">
        <f>COUNTIF(W_y!$A$1:$JV$432,"&gt;"&amp;$C192*-1)-SUM(G$7:G191)</f>
        <v>0</v>
      </c>
    </row>
    <row r="193" spans="1:7" x14ac:dyDescent="0.15">
      <c r="A193" t="str">
        <f t="shared" si="7"/>
        <v>3.68-3.7</v>
      </c>
      <c r="B193">
        <f t="shared" si="8"/>
        <v>3.6800000000000028</v>
      </c>
      <c r="C193">
        <f t="shared" si="6"/>
        <v>3.7000000000000028</v>
      </c>
      <c r="D193">
        <f>COUNTIF(N_x!$A$1:$JV$432,"&lt;"&amp;$C193)-SUM(D$7:D192)</f>
        <v>0</v>
      </c>
      <c r="E193">
        <f>COUNTIF(S_x!$A$1:$JV$432,"&gt;"&amp;$C193*-1)-SUM(E$7:E192)</f>
        <v>0</v>
      </c>
      <c r="F193">
        <f>COUNTIF(E_y!$A$1:$JV$432,"&lt;"&amp;$C193)-SUM(F$7:F192)</f>
        <v>0</v>
      </c>
      <c r="G193">
        <f>COUNTIF(W_y!$A$1:$JV$432,"&gt;"&amp;$C193*-1)-SUM(G$7:G192)</f>
        <v>0</v>
      </c>
    </row>
    <row r="194" spans="1:7" x14ac:dyDescent="0.15">
      <c r="A194" t="str">
        <f t="shared" si="7"/>
        <v>3.7-3.72</v>
      </c>
      <c r="B194">
        <f t="shared" si="8"/>
        <v>3.7000000000000028</v>
      </c>
      <c r="C194">
        <f t="shared" si="6"/>
        <v>3.7200000000000029</v>
      </c>
      <c r="D194">
        <f>COUNTIF(N_x!$A$1:$JV$432,"&lt;"&amp;$C194)-SUM(D$7:D193)</f>
        <v>0</v>
      </c>
      <c r="E194">
        <f>COUNTIF(S_x!$A$1:$JV$432,"&gt;"&amp;$C194*-1)-SUM(E$7:E193)</f>
        <v>0</v>
      </c>
      <c r="F194">
        <f>COUNTIF(E_y!$A$1:$JV$432,"&lt;"&amp;$C194)-SUM(F$7:F193)</f>
        <v>0</v>
      </c>
      <c r="G194">
        <f>COUNTIF(W_y!$A$1:$JV$432,"&gt;"&amp;$C194*-1)-SUM(G$7:G193)</f>
        <v>0</v>
      </c>
    </row>
    <row r="195" spans="1:7" x14ac:dyDescent="0.15">
      <c r="A195" t="str">
        <f t="shared" si="7"/>
        <v>3.72-3.74</v>
      </c>
      <c r="B195">
        <f t="shared" si="8"/>
        <v>3.7200000000000029</v>
      </c>
      <c r="C195">
        <f t="shared" si="6"/>
        <v>3.7400000000000029</v>
      </c>
      <c r="D195">
        <f>COUNTIF(N_x!$A$1:$JV$432,"&lt;"&amp;$C195)-SUM(D$7:D194)</f>
        <v>0</v>
      </c>
      <c r="E195">
        <f>COUNTIF(S_x!$A$1:$JV$432,"&gt;"&amp;$C195*-1)-SUM(E$7:E194)</f>
        <v>0</v>
      </c>
      <c r="F195">
        <f>COUNTIF(E_y!$A$1:$JV$432,"&lt;"&amp;$C195)-SUM(F$7:F194)</f>
        <v>0</v>
      </c>
      <c r="G195">
        <f>COUNTIF(W_y!$A$1:$JV$432,"&gt;"&amp;$C195*-1)-SUM(G$7:G194)</f>
        <v>0</v>
      </c>
    </row>
    <row r="196" spans="1:7" x14ac:dyDescent="0.15">
      <c r="A196" t="str">
        <f t="shared" si="7"/>
        <v>3.74-3.76</v>
      </c>
      <c r="B196">
        <f t="shared" si="8"/>
        <v>3.7400000000000029</v>
      </c>
      <c r="C196">
        <f t="shared" si="6"/>
        <v>3.7600000000000029</v>
      </c>
      <c r="D196">
        <f>COUNTIF(N_x!$A$1:$JV$432,"&lt;"&amp;$C196)-SUM(D$7:D195)</f>
        <v>0</v>
      </c>
      <c r="E196">
        <f>COUNTIF(S_x!$A$1:$JV$432,"&gt;"&amp;$C196*-1)-SUM(E$7:E195)</f>
        <v>0</v>
      </c>
      <c r="F196">
        <f>COUNTIF(E_y!$A$1:$JV$432,"&lt;"&amp;$C196)-SUM(F$7:F195)</f>
        <v>0</v>
      </c>
      <c r="G196">
        <f>COUNTIF(W_y!$A$1:$JV$432,"&gt;"&amp;$C196*-1)-SUM(G$7:G195)</f>
        <v>0</v>
      </c>
    </row>
    <row r="197" spans="1:7" x14ac:dyDescent="0.15">
      <c r="A197" t="str">
        <f t="shared" si="7"/>
        <v>3.76-3.78</v>
      </c>
      <c r="B197">
        <f t="shared" si="8"/>
        <v>3.7600000000000029</v>
      </c>
      <c r="C197">
        <f t="shared" si="6"/>
        <v>3.7800000000000029</v>
      </c>
      <c r="D197">
        <f>COUNTIF(N_x!$A$1:$JV$432,"&lt;"&amp;$C197)-SUM(D$7:D196)</f>
        <v>0</v>
      </c>
      <c r="E197">
        <f>COUNTIF(S_x!$A$1:$JV$432,"&gt;"&amp;$C197*-1)-SUM(E$7:E196)</f>
        <v>0</v>
      </c>
      <c r="F197">
        <f>COUNTIF(E_y!$A$1:$JV$432,"&lt;"&amp;$C197)-SUM(F$7:F196)</f>
        <v>0</v>
      </c>
      <c r="G197">
        <f>COUNTIF(W_y!$A$1:$JV$432,"&gt;"&amp;$C197*-1)-SUM(G$7:G196)</f>
        <v>0</v>
      </c>
    </row>
    <row r="198" spans="1:7" x14ac:dyDescent="0.15">
      <c r="A198" t="str">
        <f t="shared" si="7"/>
        <v>3.78-3.8</v>
      </c>
      <c r="B198">
        <f t="shared" si="8"/>
        <v>3.7800000000000029</v>
      </c>
      <c r="C198">
        <f t="shared" si="6"/>
        <v>3.8000000000000029</v>
      </c>
      <c r="D198">
        <f>COUNTIF(N_x!$A$1:$JV$432,"&lt;"&amp;$C198)-SUM(D$7:D197)</f>
        <v>0</v>
      </c>
      <c r="E198">
        <f>COUNTIF(S_x!$A$1:$JV$432,"&gt;"&amp;$C198*-1)-SUM(E$7:E197)</f>
        <v>0</v>
      </c>
      <c r="F198">
        <f>COUNTIF(E_y!$A$1:$JV$432,"&lt;"&amp;$C198)-SUM(F$7:F197)</f>
        <v>0</v>
      </c>
      <c r="G198">
        <f>COUNTIF(W_y!$A$1:$JV$432,"&gt;"&amp;$C198*-1)-SUM(G$7:G197)</f>
        <v>0</v>
      </c>
    </row>
    <row r="199" spans="1:7" x14ac:dyDescent="0.15">
      <c r="A199" t="str">
        <f t="shared" si="7"/>
        <v>3.8-3.82</v>
      </c>
      <c r="B199">
        <f t="shared" si="8"/>
        <v>3.8000000000000029</v>
      </c>
      <c r="C199">
        <f t="shared" si="6"/>
        <v>3.8200000000000029</v>
      </c>
      <c r="D199">
        <f>COUNTIF(N_x!$A$1:$JV$432,"&lt;"&amp;$C199)-SUM(D$7:D198)</f>
        <v>0</v>
      </c>
      <c r="E199">
        <f>COUNTIF(S_x!$A$1:$JV$432,"&gt;"&amp;$C199*-1)-SUM(E$7:E198)</f>
        <v>0</v>
      </c>
      <c r="F199">
        <f>COUNTIF(E_y!$A$1:$JV$432,"&lt;"&amp;$C199)-SUM(F$7:F198)</f>
        <v>0</v>
      </c>
      <c r="G199">
        <f>COUNTIF(W_y!$A$1:$JV$432,"&gt;"&amp;$C199*-1)-SUM(G$7:G198)</f>
        <v>0</v>
      </c>
    </row>
    <row r="200" spans="1:7" x14ac:dyDescent="0.15">
      <c r="A200" t="str">
        <f t="shared" si="7"/>
        <v>3.82-3.84</v>
      </c>
      <c r="B200">
        <f t="shared" si="8"/>
        <v>3.8200000000000029</v>
      </c>
      <c r="C200">
        <f t="shared" si="6"/>
        <v>3.840000000000003</v>
      </c>
      <c r="D200">
        <f>COUNTIF(N_x!$A$1:$JV$432,"&lt;"&amp;$C200)-SUM(D$7:D199)</f>
        <v>0</v>
      </c>
      <c r="E200">
        <f>COUNTIF(S_x!$A$1:$JV$432,"&gt;"&amp;$C200*-1)-SUM(E$7:E199)</f>
        <v>0</v>
      </c>
      <c r="F200">
        <f>COUNTIF(E_y!$A$1:$JV$432,"&lt;"&amp;$C200)-SUM(F$7:F199)</f>
        <v>0</v>
      </c>
      <c r="G200">
        <f>COUNTIF(W_y!$A$1:$JV$432,"&gt;"&amp;$C200*-1)-SUM(G$7:G199)</f>
        <v>0</v>
      </c>
    </row>
    <row r="201" spans="1:7" x14ac:dyDescent="0.15">
      <c r="A201" t="str">
        <f t="shared" si="7"/>
        <v>3.84-3.86</v>
      </c>
      <c r="B201">
        <f t="shared" si="8"/>
        <v>3.840000000000003</v>
      </c>
      <c r="C201">
        <f t="shared" ref="C201:C208" si="9">B201+$A$5</f>
        <v>3.860000000000003</v>
      </c>
      <c r="D201">
        <f>COUNTIF(N_x!$A$1:$JV$432,"&lt;"&amp;$C201)-SUM(D$7:D200)</f>
        <v>0</v>
      </c>
      <c r="E201">
        <f>COUNTIF(S_x!$A$1:$JV$432,"&gt;"&amp;$C201*-1)-SUM(E$7:E200)</f>
        <v>0</v>
      </c>
      <c r="F201">
        <f>COUNTIF(E_y!$A$1:$JV$432,"&lt;"&amp;$C201)-SUM(F$7:F200)</f>
        <v>0</v>
      </c>
      <c r="G201">
        <f>COUNTIF(W_y!$A$1:$JV$432,"&gt;"&amp;$C201*-1)-SUM(G$7:G200)</f>
        <v>0</v>
      </c>
    </row>
    <row r="202" spans="1:7" x14ac:dyDescent="0.15">
      <c r="A202" t="str">
        <f t="shared" ref="A202:A208" si="10">B202&amp;"-"&amp;C202</f>
        <v>3.86-3.88</v>
      </c>
      <c r="B202">
        <f t="shared" ref="B202:B208" si="11">C201</f>
        <v>3.860000000000003</v>
      </c>
      <c r="C202">
        <f t="shared" si="9"/>
        <v>3.880000000000003</v>
      </c>
      <c r="D202">
        <f>COUNTIF(N_x!$A$1:$JV$432,"&lt;"&amp;$C202)-SUM(D$7:D201)</f>
        <v>0</v>
      </c>
      <c r="E202">
        <f>COUNTIF(S_x!$A$1:$JV$432,"&gt;"&amp;$C202*-1)-SUM(E$7:E201)</f>
        <v>0</v>
      </c>
      <c r="F202">
        <f>COUNTIF(E_y!$A$1:$JV$432,"&lt;"&amp;$C202)-SUM(F$7:F201)</f>
        <v>0</v>
      </c>
      <c r="G202">
        <f>COUNTIF(W_y!$A$1:$JV$432,"&gt;"&amp;$C202*-1)-SUM(G$7:G201)</f>
        <v>0</v>
      </c>
    </row>
    <row r="203" spans="1:7" x14ac:dyDescent="0.15">
      <c r="A203" t="str">
        <f t="shared" si="10"/>
        <v>3.88-3.9</v>
      </c>
      <c r="B203">
        <f t="shared" si="11"/>
        <v>3.880000000000003</v>
      </c>
      <c r="C203">
        <f t="shared" si="9"/>
        <v>3.900000000000003</v>
      </c>
      <c r="D203">
        <f>COUNTIF(N_x!$A$1:$JV$432,"&lt;"&amp;$C203)-SUM(D$7:D202)</f>
        <v>0</v>
      </c>
      <c r="E203">
        <f>COUNTIF(S_x!$A$1:$JV$432,"&gt;"&amp;$C203*-1)-SUM(E$7:E202)</f>
        <v>0</v>
      </c>
      <c r="F203">
        <f>COUNTIF(E_y!$A$1:$JV$432,"&lt;"&amp;$C203)-SUM(F$7:F202)</f>
        <v>0</v>
      </c>
      <c r="G203">
        <f>COUNTIF(W_y!$A$1:$JV$432,"&gt;"&amp;$C203*-1)-SUM(G$7:G202)</f>
        <v>0</v>
      </c>
    </row>
    <row r="204" spans="1:7" x14ac:dyDescent="0.15">
      <c r="A204" t="str">
        <f t="shared" si="10"/>
        <v>3.9-3.92</v>
      </c>
      <c r="B204">
        <f t="shared" si="11"/>
        <v>3.900000000000003</v>
      </c>
      <c r="C204">
        <f t="shared" si="9"/>
        <v>3.920000000000003</v>
      </c>
      <c r="D204">
        <f>COUNTIF(N_x!$A$1:$JV$432,"&lt;"&amp;$C204)-SUM(D$7:D203)</f>
        <v>0</v>
      </c>
      <c r="E204">
        <f>COUNTIF(S_x!$A$1:$JV$432,"&gt;"&amp;$C204*-1)-SUM(E$7:E203)</f>
        <v>0</v>
      </c>
      <c r="F204">
        <f>COUNTIF(E_y!$A$1:$JV$432,"&lt;"&amp;$C204)-SUM(F$7:F203)</f>
        <v>0</v>
      </c>
      <c r="G204">
        <f>COUNTIF(W_y!$A$1:$JV$432,"&gt;"&amp;$C204*-1)-SUM(G$7:G203)</f>
        <v>0</v>
      </c>
    </row>
    <row r="205" spans="1:7" x14ac:dyDescent="0.15">
      <c r="A205" t="str">
        <f t="shared" si="10"/>
        <v>3.92-3.94</v>
      </c>
      <c r="B205">
        <f t="shared" si="11"/>
        <v>3.920000000000003</v>
      </c>
      <c r="C205">
        <f t="shared" si="9"/>
        <v>3.9400000000000031</v>
      </c>
      <c r="D205">
        <f>COUNTIF(N_x!$A$1:$JV$432,"&lt;"&amp;$C205)-SUM(D$7:D204)</f>
        <v>0</v>
      </c>
      <c r="E205">
        <f>COUNTIF(S_x!$A$1:$JV$432,"&gt;"&amp;$C205*-1)-SUM(E$7:E204)</f>
        <v>0</v>
      </c>
      <c r="F205">
        <f>COUNTIF(E_y!$A$1:$JV$432,"&lt;"&amp;$C205)-SUM(F$7:F204)</f>
        <v>0</v>
      </c>
      <c r="G205">
        <f>COUNTIF(W_y!$A$1:$JV$432,"&gt;"&amp;$C205*-1)-SUM(G$7:G204)</f>
        <v>0</v>
      </c>
    </row>
    <row r="206" spans="1:7" x14ac:dyDescent="0.15">
      <c r="A206" t="str">
        <f t="shared" si="10"/>
        <v>3.94-3.96</v>
      </c>
      <c r="B206">
        <f t="shared" si="11"/>
        <v>3.9400000000000031</v>
      </c>
      <c r="C206">
        <f t="shared" si="9"/>
        <v>3.9600000000000031</v>
      </c>
      <c r="D206">
        <f>COUNTIF(N_x!$A$1:$JV$432,"&lt;"&amp;$C206)-SUM(D$7:D205)</f>
        <v>0</v>
      </c>
      <c r="E206">
        <f>COUNTIF(S_x!$A$1:$JV$432,"&gt;"&amp;$C206*-1)-SUM(E$7:E205)</f>
        <v>0</v>
      </c>
      <c r="F206">
        <f>COUNTIF(E_y!$A$1:$JV$432,"&lt;"&amp;$C206)-SUM(F$7:F205)</f>
        <v>0</v>
      </c>
      <c r="G206">
        <f>COUNTIF(W_y!$A$1:$JV$432,"&gt;"&amp;$C206*-1)-SUM(G$7:G205)</f>
        <v>0</v>
      </c>
    </row>
    <row r="207" spans="1:7" x14ac:dyDescent="0.15">
      <c r="A207" t="str">
        <f t="shared" si="10"/>
        <v>3.96-3.98</v>
      </c>
      <c r="B207">
        <f t="shared" si="11"/>
        <v>3.9600000000000031</v>
      </c>
      <c r="C207">
        <f t="shared" si="9"/>
        <v>3.9800000000000031</v>
      </c>
      <c r="D207">
        <f>COUNTIF(N_x!$A$1:$JV$432,"&lt;"&amp;$C207)-SUM(D$7:D206)</f>
        <v>0</v>
      </c>
      <c r="E207">
        <f>COUNTIF(S_x!$A$1:$JV$432,"&gt;"&amp;$C207*-1)-SUM(E$7:E206)</f>
        <v>0</v>
      </c>
      <c r="F207">
        <f>COUNTIF(E_y!$A$1:$JV$432,"&lt;"&amp;$C207)-SUM(F$7:F206)</f>
        <v>0</v>
      </c>
      <c r="G207">
        <f>COUNTIF(W_y!$A$1:$JV$432,"&gt;"&amp;$C207*-1)-SUM(G$7:G206)</f>
        <v>0</v>
      </c>
    </row>
    <row r="208" spans="1:7" x14ac:dyDescent="0.15">
      <c r="A208" t="str">
        <f t="shared" si="10"/>
        <v>3.98-4</v>
      </c>
      <c r="B208">
        <f t="shared" si="11"/>
        <v>3.9800000000000031</v>
      </c>
      <c r="C208">
        <f t="shared" si="9"/>
        <v>4.0000000000000027</v>
      </c>
      <c r="D208">
        <f>COUNTIF(N_x!$A$1:$JV$432,"&lt;"&amp;$C208)-SUM(D$7:D207)</f>
        <v>0</v>
      </c>
      <c r="E208">
        <f>COUNTIF(S_x!$A$1:$JV$432,"&gt;"&amp;$C208*-1)-SUM(E$7:E207)</f>
        <v>0</v>
      </c>
      <c r="F208">
        <f>COUNTIF(E_y!$A$1:$JV$432,"&lt;"&amp;$C208)-SUM(F$7:F207)</f>
        <v>0</v>
      </c>
      <c r="G208">
        <f>COUNTIF(W_y!$A$1:$JV$432,"&gt;"&amp;$C208*-1)-SUM(G$7:G207)</f>
        <v>0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"/>
  <sheetViews>
    <sheetView workbookViewId="0">
      <selection sqref="A1:LH512"/>
    </sheetView>
  </sheetViews>
  <sheetFormatPr defaultRowHeight="15" x14ac:dyDescent="0.15"/>
  <cols>
    <col min="1" max="16384" width="9" style="27"/>
  </cols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"/>
  <sheetViews>
    <sheetView workbookViewId="0">
      <selection sqref="A1:LH512"/>
    </sheetView>
  </sheetViews>
  <sheetFormatPr defaultRowHeight="15" x14ac:dyDescent="0.15"/>
  <cols>
    <col min="1" max="16384" width="9" style="27"/>
  </cols>
  <sheetData/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/>
  <dimension ref="A1"/>
  <sheetViews>
    <sheetView workbookViewId="0">
      <selection sqref="A1:LH512"/>
    </sheetView>
  </sheetViews>
  <sheetFormatPr defaultRowHeight="15" x14ac:dyDescent="0.15"/>
  <cols>
    <col min="1" max="16384" width="9" style="27"/>
  </cols>
  <sheetData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/>
  <dimension ref="A1"/>
  <sheetViews>
    <sheetView workbookViewId="0">
      <selection sqref="A1:LH512"/>
    </sheetView>
  </sheetViews>
  <sheetFormatPr defaultRowHeight="15" x14ac:dyDescent="0.15"/>
  <cols>
    <col min="1" max="16384" width="9" style="27"/>
  </cols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各ミラー補正計測データcsv整理マクロ</vt:lpstr>
      <vt:lpstr>裾評価用シート</vt:lpstr>
      <vt:lpstr>W_y</vt:lpstr>
      <vt:lpstr>E_y</vt:lpstr>
      <vt:lpstr>S_x</vt:lpstr>
      <vt:lpstr>N_x</vt:lpstr>
    </vt:vector>
  </TitlesOfParts>
  <Company>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Furuya Shunsuke-古谷 俊輔</dc:creator>
  <cp:lastModifiedBy>Kihara Kai-木原 会</cp:lastModifiedBy>
  <dcterms:created xsi:type="dcterms:W3CDTF">2011-11-15T04:08:59Z</dcterms:created>
  <dcterms:modified xsi:type="dcterms:W3CDTF">2021-04-19T01:24:17Z</dcterms:modified>
</cp:coreProperties>
</file>